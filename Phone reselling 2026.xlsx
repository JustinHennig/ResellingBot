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webextension1.xml" ContentType="application/vnd.ms-office.webextens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stin\Documents\Excel\Phone Reselling\"/>
    </mc:Choice>
  </mc:AlternateContent>
  <xr:revisionPtr revIDLastSave="0" documentId="8_{4DE90DF5-6BB9-43E6-8196-C75FD636D055}" xr6:coauthVersionLast="47" xr6:coauthVersionMax="47" xr10:uidLastSave="{00000000-0000-0000-0000-000000000000}"/>
  <bookViews>
    <workbookView xWindow="38290" yWindow="3150" windowWidth="29180" windowHeight="16510" xr2:uid="{F22C86C3-53D1-4BCD-A55E-72FA92D54CE4}"/>
  </bookViews>
  <sheets>
    <sheet name="Gewinne" sheetId="1" r:id="rId1"/>
    <sheet name="Enu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E40" i="1"/>
  <c r="E41" i="1"/>
  <c r="E42" i="1"/>
  <c r="E43" i="1"/>
  <c r="E44" i="1"/>
  <c r="E45" i="1"/>
  <c r="E46" i="1"/>
  <c r="E47" i="1"/>
  <c r="E48" i="1"/>
  <c r="M39" i="1"/>
  <c r="M40" i="1"/>
  <c r="M41" i="1"/>
  <c r="O41" i="1" s="1"/>
  <c r="M42" i="1"/>
  <c r="M43" i="1"/>
  <c r="M44" i="1"/>
  <c r="M45" i="1"/>
  <c r="M46" i="1"/>
  <c r="M47" i="1"/>
  <c r="M48" i="1"/>
  <c r="O42" i="1"/>
  <c r="O43" i="1"/>
  <c r="O44" i="1"/>
  <c r="O45" i="1"/>
  <c r="O46" i="1"/>
  <c r="O47" i="1"/>
  <c r="O48" i="1"/>
  <c r="J31" i="1"/>
  <c r="J35" i="1"/>
  <c r="J34" i="1"/>
  <c r="J29" i="1"/>
  <c r="J30" i="1"/>
  <c r="E31" i="1"/>
  <c r="E32" i="1"/>
  <c r="E33" i="1"/>
  <c r="E34" i="1"/>
  <c r="E35" i="1"/>
  <c r="E36" i="1"/>
  <c r="E37" i="1"/>
  <c r="E38" i="1"/>
  <c r="M31" i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J25" i="1"/>
  <c r="J28" i="1"/>
  <c r="J27" i="1"/>
  <c r="J26" i="1"/>
  <c r="J23" i="1"/>
  <c r="N45" i="1" l="1"/>
  <c r="N47" i="1"/>
  <c r="O39" i="1"/>
  <c r="N43" i="1"/>
  <c r="N41" i="1"/>
  <c r="N39" i="1"/>
  <c r="N46" i="1"/>
  <c r="N44" i="1"/>
  <c r="N42" i="1"/>
  <c r="N40" i="1"/>
  <c r="O40" i="1"/>
  <c r="N48" i="1"/>
  <c r="O31" i="1"/>
  <c r="J24" i="1"/>
  <c r="J19" i="1"/>
  <c r="J21" i="1"/>
  <c r="J22" i="1"/>
  <c r="E23" i="1"/>
  <c r="E24" i="1"/>
  <c r="E25" i="1"/>
  <c r="E26" i="1"/>
  <c r="E27" i="1"/>
  <c r="E28" i="1"/>
  <c r="E29" i="1"/>
  <c r="E30" i="1"/>
  <c r="M23" i="1"/>
  <c r="M24" i="1"/>
  <c r="O24" i="1" s="1"/>
  <c r="M25" i="1"/>
  <c r="O25" i="1" s="1"/>
  <c r="M26" i="1"/>
  <c r="O26" i="1" s="1"/>
  <c r="M27" i="1"/>
  <c r="O27" i="1" s="1"/>
  <c r="M28" i="1"/>
  <c r="M29" i="1"/>
  <c r="O29" i="1" s="1"/>
  <c r="M30" i="1"/>
  <c r="O30" i="1" s="1"/>
  <c r="J17" i="1"/>
  <c r="J16" i="1"/>
  <c r="J15" i="1"/>
  <c r="E16" i="1"/>
  <c r="E17" i="1"/>
  <c r="E18" i="1"/>
  <c r="E19" i="1"/>
  <c r="E20" i="1"/>
  <c r="E21" i="1"/>
  <c r="E22" i="1"/>
  <c r="M16" i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J14" i="1"/>
  <c r="J12" i="1"/>
  <c r="O28" i="1" l="1"/>
  <c r="O23" i="1"/>
  <c r="O16" i="1"/>
  <c r="E12" i="1" l="1"/>
  <c r="E13" i="1"/>
  <c r="E14" i="1"/>
  <c r="E15" i="1"/>
  <c r="M12" i="1"/>
  <c r="M13" i="1"/>
  <c r="M14" i="1"/>
  <c r="M15" i="1"/>
  <c r="O15" i="1" s="1"/>
  <c r="O12" i="1"/>
  <c r="O14" i="1"/>
  <c r="J10" i="1"/>
  <c r="J8" i="1"/>
  <c r="J7" i="1"/>
  <c r="J6" i="1"/>
  <c r="E8" i="1"/>
  <c r="E9" i="1"/>
  <c r="E10" i="1"/>
  <c r="E11" i="1"/>
  <c r="M8" i="1"/>
  <c r="O8" i="1" s="1"/>
  <c r="M9" i="1"/>
  <c r="O9" i="1" s="1"/>
  <c r="M10" i="1"/>
  <c r="O10" i="1" s="1"/>
  <c r="M11" i="1"/>
  <c r="O11" i="1" s="1"/>
  <c r="E7" i="1"/>
  <c r="M7" i="1"/>
  <c r="J5" i="1"/>
  <c r="E6" i="1"/>
  <c r="M6" i="1"/>
  <c r="O6" i="1" s="1"/>
  <c r="E5" i="1"/>
  <c r="M5" i="1"/>
  <c r="L49" i="1"/>
  <c r="Q6" i="1"/>
  <c r="Q7" i="1" s="1"/>
  <c r="R7" i="1" s="1"/>
  <c r="R5" i="1"/>
  <c r="K49" i="1"/>
  <c r="N38" i="1" l="1"/>
  <c r="N36" i="1"/>
  <c r="N33" i="1"/>
  <c r="N32" i="1"/>
  <c r="N37" i="1"/>
  <c r="N31" i="1"/>
  <c r="N34" i="1"/>
  <c r="N35" i="1"/>
  <c r="N26" i="1"/>
  <c r="N7" i="1"/>
  <c r="N8" i="1"/>
  <c r="N11" i="1"/>
  <c r="N13" i="1"/>
  <c r="N15" i="1"/>
  <c r="N17" i="1"/>
  <c r="N19" i="1"/>
  <c r="N21" i="1"/>
  <c r="N27" i="1"/>
  <c r="N9" i="1"/>
  <c r="N12" i="1"/>
  <c r="N14" i="1"/>
  <c r="N16" i="1"/>
  <c r="N18" i="1"/>
  <c r="N20" i="1"/>
  <c r="N10" i="1"/>
  <c r="N23" i="1"/>
  <c r="N24" i="1"/>
  <c r="N22" i="1"/>
  <c r="N25" i="1"/>
  <c r="N29" i="1"/>
  <c r="N28" i="1"/>
  <c r="N30" i="1"/>
  <c r="N6" i="1"/>
  <c r="O5" i="1"/>
  <c r="O13" i="1"/>
  <c r="N5" i="1"/>
  <c r="O7" i="1"/>
  <c r="M49" i="1"/>
  <c r="Q8" i="1"/>
  <c r="S8" i="1" s="1"/>
  <c r="R6" i="1"/>
  <c r="S7" i="1"/>
  <c r="U7" i="1" s="1"/>
  <c r="S5" i="1"/>
  <c r="S6" i="1"/>
  <c r="U5" i="1" l="1"/>
  <c r="T6" i="1"/>
  <c r="T5" i="1"/>
  <c r="T7" i="1"/>
  <c r="T8" i="1"/>
  <c r="R8" i="1"/>
  <c r="U8" i="1" s="1"/>
  <c r="Q9" i="1"/>
  <c r="Q10" i="1" s="1"/>
  <c r="U6" i="1"/>
  <c r="R10" i="1" l="1"/>
  <c r="S10" i="1"/>
  <c r="Q11" i="1"/>
  <c r="R11" i="1" s="1"/>
  <c r="R9" i="1"/>
  <c r="S9" i="1"/>
  <c r="T9" i="1" s="1"/>
  <c r="U10" i="1" l="1"/>
  <c r="Q12" i="1"/>
  <c r="R12" i="1" s="1"/>
  <c r="S11" i="1"/>
  <c r="T10" i="1"/>
  <c r="U9" i="1"/>
  <c r="U11" i="1" l="1"/>
  <c r="T11" i="1"/>
  <c r="Q13" i="1"/>
  <c r="S12" i="1"/>
  <c r="R13" i="1" l="1"/>
  <c r="S13" i="1"/>
  <c r="U12" i="1"/>
  <c r="T12" i="1"/>
  <c r="Q14" i="1"/>
  <c r="R14" i="1" l="1"/>
  <c r="S14" i="1"/>
  <c r="Q15" i="1"/>
  <c r="T13" i="1"/>
  <c r="U13" i="1"/>
  <c r="R15" i="1" l="1"/>
  <c r="S15" i="1"/>
  <c r="U14" i="1"/>
  <c r="Q16" i="1"/>
  <c r="T14" i="1"/>
  <c r="S16" i="1" l="1"/>
  <c r="R16" i="1"/>
  <c r="T15" i="1"/>
  <c r="U15" i="1"/>
  <c r="T16" i="1" l="1"/>
  <c r="U16" i="1"/>
</calcChain>
</file>

<file path=xl/sharedStrings.xml><?xml version="1.0" encoding="utf-8"?>
<sst xmlns="http://schemas.openxmlformats.org/spreadsheetml/2006/main" count="197" uniqueCount="92">
  <si>
    <t>Einkaufspreis</t>
  </si>
  <si>
    <t>Verkaufspreis</t>
  </si>
  <si>
    <t>Gewinn</t>
  </si>
  <si>
    <t>iPhone Modell</t>
  </si>
  <si>
    <t>iPhone 11</t>
  </si>
  <si>
    <t>iPhone 11 Pro</t>
  </si>
  <si>
    <t>Speicher</t>
  </si>
  <si>
    <t>32GB</t>
  </si>
  <si>
    <t>64GB</t>
  </si>
  <si>
    <t>128GB</t>
  </si>
  <si>
    <t>256GB</t>
  </si>
  <si>
    <t>512GB</t>
  </si>
  <si>
    <t>Monat</t>
  </si>
  <si>
    <t>DD</t>
  </si>
  <si>
    <t>MM</t>
  </si>
  <si>
    <t>YYYY</t>
  </si>
  <si>
    <t>Umsatz</t>
  </si>
  <si>
    <t>Gewinn Marge</t>
  </si>
  <si>
    <t>Marge</t>
  </si>
  <si>
    <t>iPhone 5s</t>
  </si>
  <si>
    <t>iPhone 6</t>
  </si>
  <si>
    <t>iPhone 6s</t>
  </si>
  <si>
    <t>iPhone 7</t>
  </si>
  <si>
    <t>iPhone 8</t>
  </si>
  <si>
    <t>iPhone 8 Plus</t>
  </si>
  <si>
    <t>iPhone X</t>
  </si>
  <si>
    <t>iPhone XS</t>
  </si>
  <si>
    <t>iPhone 11 Pro Max</t>
  </si>
  <si>
    <t>iPhone 12</t>
  </si>
  <si>
    <t>iPhone 12 Mini</t>
  </si>
  <si>
    <t>iPhone 13</t>
  </si>
  <si>
    <t>iPhone 13 Mini</t>
  </si>
  <si>
    <t>iPhone 13 Pro</t>
  </si>
  <si>
    <t>Mehrere</t>
  </si>
  <si>
    <t>iPhone 13 Pro Max</t>
  </si>
  <si>
    <t>iPhone 14</t>
  </si>
  <si>
    <t>iPhone 14 Pro</t>
  </si>
  <si>
    <t>Samsung S22</t>
  </si>
  <si>
    <t>Samsung S23</t>
  </si>
  <si>
    <t>Farbe</t>
  </si>
  <si>
    <t>Schwarz</t>
  </si>
  <si>
    <t>Blau</t>
  </si>
  <si>
    <t>Grün</t>
  </si>
  <si>
    <t>Graphit</t>
  </si>
  <si>
    <t>Spacegray</t>
  </si>
  <si>
    <t>Violett</t>
  </si>
  <si>
    <t>Weiss</t>
  </si>
  <si>
    <t>Mint</t>
  </si>
  <si>
    <t>iPhone 12 Pro</t>
  </si>
  <si>
    <t>Gold</t>
  </si>
  <si>
    <t>Samsung S21</t>
  </si>
  <si>
    <t>Samsung Z Flip 4</t>
  </si>
  <si>
    <t>iPhone 12 Pro Max</t>
  </si>
  <si>
    <t>Rosa</t>
  </si>
  <si>
    <t>iPhone 14 Plus</t>
  </si>
  <si>
    <t>Rot</t>
  </si>
  <si>
    <t>Samsung S24</t>
  </si>
  <si>
    <t>Verfolgung</t>
  </si>
  <si>
    <t>Vermoegen</t>
  </si>
  <si>
    <t>Samsung S22 Ultra</t>
  </si>
  <si>
    <t>Samsung S24 FE</t>
  </si>
  <si>
    <t>Kaufdatum</t>
  </si>
  <si>
    <t>Modell</t>
  </si>
  <si>
    <t>Verkaufsdatum</t>
  </si>
  <si>
    <t>iPhone 15</t>
  </si>
  <si>
    <t>Google Pixel 7 Pro</t>
  </si>
  <si>
    <t>Samsung S9</t>
  </si>
  <si>
    <t>Gelb</t>
  </si>
  <si>
    <t>Google Pixel 7</t>
  </si>
  <si>
    <t>Google Pixel 8a</t>
  </si>
  <si>
    <t>Google Pixel 8 Pro</t>
  </si>
  <si>
    <t>iPhone Xs Max</t>
  </si>
  <si>
    <t>Google Pixel 9a</t>
  </si>
  <si>
    <t>Google Pixel 8</t>
  </si>
  <si>
    <t>Samsung S23 Ultra</t>
  </si>
  <si>
    <t>Samsung S23 FE</t>
  </si>
  <si>
    <t>Samsung S25 Ultra</t>
  </si>
  <si>
    <t>24/1/2025</t>
  </si>
  <si>
    <t>25/1/2026</t>
  </si>
  <si>
    <t>22/1/2026</t>
  </si>
  <si>
    <t>Google Pixel 7a</t>
  </si>
  <si>
    <t>Samsung Z Flip 5</t>
  </si>
  <si>
    <t>Samsung A55</t>
  </si>
  <si>
    <t>30/1/2026</t>
  </si>
  <si>
    <t>29/1/2026</t>
  </si>
  <si>
    <t>31/1/2026</t>
  </si>
  <si>
    <t>iPhone 14 Pro Max</t>
  </si>
  <si>
    <t>Samsung S25 FE</t>
  </si>
  <si>
    <t>Samsung A54</t>
  </si>
  <si>
    <t>16/2/2026</t>
  </si>
  <si>
    <t>iPhone 16e</t>
  </si>
  <si>
    <t>19/2/2026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</si>
</sst>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\ [$€-407]_-;\-* #,##0.00\ [$€-407]_-;_-* &quot;-&quot;??\ [$€-407]_-;_-@_-"/>
    <numFmt numFmtId="165" formatCode="[$-F800]dddd\,\ mmmm\ dd\,\ yyyy"/>
    <numFmt numFmtId="166" formatCode="_-* #,##0\ [$€-407]_-;\-* #,##0\ [$€-407]_-;_-* &quot;-&quot;??\ [$€-407]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2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  <xf numFmtId="164" fontId="0" fillId="0" borderId="0" xfId="3" applyNumberFormat="1" applyFont="1"/>
    <xf numFmtId="0" fontId="0" fillId="0" borderId="0" xfId="0" applyNumberFormat="1" applyAlignment="1">
      <alignment horizontal="center"/>
    </xf>
  </cellXfs>
  <cellStyles count="4">
    <cellStyle name="Link" xfId="2" builtinId="8"/>
    <cellStyle name="Prozent" xfId="1" builtinId="5"/>
    <cellStyle name="Standard" xfId="0" builtinId="0"/>
    <cellStyle name="Währung" xfId="3" builtinId="4"/>
  </cellStyles>
  <dxfs count="32">
    <dxf>
      <alignment horizontal="center" vertical="bottom" textRotation="0" wrapText="0" indent="0" justifyLastLine="0" shrinkToFit="0" readingOrder="0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_-* #,##0\ [$€-407]_-;\-* #,##0\ [$€-407]_-;_-* &quot;-&quot;??\ [$€-407]_-;_-@_-"/>
      <alignment horizontal="center" vertical="bottom" textRotation="0" wrapText="0" indent="0" justifyLastLine="0" shrinkToFit="0" readingOrder="0"/>
    </dxf>
    <dxf>
      <numFmt numFmtId="166" formatCode="_-* #,##0\ [$€-407]_-;\-* #,##0\ [$€-407]_-;_-* &quot;-&quot;??\ [$€-407]_-;_-@_-"/>
      <alignment horizontal="center" vertical="bottom" textRotation="0" wrapText="0" indent="0" justifyLastLine="0" shrinkToFit="0" readingOrder="0"/>
    </dxf>
    <dxf>
      <numFmt numFmtId="166" formatCode="_-* #,##0\ [$€-407]_-;\-* #,##0\ [$€-407]_-;_-* &quot;-&quot;??\ [$€-407]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* #,##0.00\ [$€-407]_-;\-* #,##0.00\ [$€-407]_-;_-* &quot;-&quot;??\ [$€-407]_-;_-@_-"/>
    </dxf>
    <dxf>
      <numFmt numFmtId="0" formatCode="General"/>
    </dxf>
    <dxf>
      <numFmt numFmtId="164" formatCode="_-* #,##0.00\ [$€-407]_-;\-* #,##0.00\ [$€-407]_-;_-* &quot;-&quot;??\ [$€-407]_-;_-@_-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Vermoegen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29059927311798728"/>
                  <c:y val="-1.19108592734319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949075908131029"/>
                  <c:y val="-4.0763853116491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Gewinne!$E$5:$E$27</c:f>
              <c:numCache>
                <c:formatCode>m/d/yyyy</c:formatCode>
                <c:ptCount val="23"/>
                <c:pt idx="0">
                  <c:v>46036</c:v>
                </c:pt>
                <c:pt idx="1">
                  <c:v>46040</c:v>
                </c:pt>
                <c:pt idx="2">
                  <c:v>46040</c:v>
                </c:pt>
                <c:pt idx="3">
                  <c:v>46042</c:v>
                </c:pt>
                <c:pt idx="4">
                  <c:v>46043</c:v>
                </c:pt>
                <c:pt idx="5">
                  <c:v>46043</c:v>
                </c:pt>
                <c:pt idx="6">
                  <c:v>46048</c:v>
                </c:pt>
                <c:pt idx="7">
                  <c:v>46048</c:v>
                </c:pt>
                <c:pt idx="8">
                  <c:v>46049</c:v>
                </c:pt>
                <c:pt idx="9">
                  <c:v>46049</c:v>
                </c:pt>
                <c:pt idx="10">
                  <c:v>46049</c:v>
                </c:pt>
                <c:pt idx="11">
                  <c:v>46049</c:v>
                </c:pt>
                <c:pt idx="12">
                  <c:v>46049</c:v>
                </c:pt>
                <c:pt idx="13">
                  <c:v>46050</c:v>
                </c:pt>
                <c:pt idx="14">
                  <c:v>46053</c:v>
                </c:pt>
                <c:pt idx="15">
                  <c:v>46053</c:v>
                </c:pt>
                <c:pt idx="16">
                  <c:v>46054</c:v>
                </c:pt>
                <c:pt idx="17">
                  <c:v>46054</c:v>
                </c:pt>
                <c:pt idx="18">
                  <c:v>46055</c:v>
                </c:pt>
                <c:pt idx="19">
                  <c:v>46055</c:v>
                </c:pt>
                <c:pt idx="20">
                  <c:v>46056</c:v>
                </c:pt>
                <c:pt idx="21">
                  <c:v>46057</c:v>
                </c:pt>
                <c:pt idx="22">
                  <c:v>46057</c:v>
                </c:pt>
              </c:numCache>
            </c:numRef>
          </c:xVal>
          <c:yVal>
            <c:numRef>
              <c:f>Gewinne!$N$5:$N$27</c:f>
              <c:numCache>
                <c:formatCode>_-* #,##0.00\ [$€-407]_-;\-* #,##0.00\ [$€-407]_-;_-* "-"??\ [$€-407]_-;_-@_-</c:formatCode>
                <c:ptCount val="23"/>
                <c:pt idx="0">
                  <c:v>42</c:v>
                </c:pt>
                <c:pt idx="1">
                  <c:v>97.5</c:v>
                </c:pt>
                <c:pt idx="2">
                  <c:v>235</c:v>
                </c:pt>
                <c:pt idx="3">
                  <c:v>292</c:v>
                </c:pt>
                <c:pt idx="4">
                  <c:v>319.27999999999997</c:v>
                </c:pt>
                <c:pt idx="5">
                  <c:v>319.27999999999997</c:v>
                </c:pt>
                <c:pt idx="6">
                  <c:v>319.27999999999997</c:v>
                </c:pt>
                <c:pt idx="7">
                  <c:v>388.54999999999995</c:v>
                </c:pt>
                <c:pt idx="8">
                  <c:v>214.04999999999995</c:v>
                </c:pt>
                <c:pt idx="9">
                  <c:v>236.44999999999996</c:v>
                </c:pt>
                <c:pt idx="10">
                  <c:v>316.14999999999998</c:v>
                </c:pt>
                <c:pt idx="11">
                  <c:v>365.92999999999995</c:v>
                </c:pt>
                <c:pt idx="12">
                  <c:v>428.68999999999994</c:v>
                </c:pt>
                <c:pt idx="13">
                  <c:v>441.15999999999997</c:v>
                </c:pt>
                <c:pt idx="14">
                  <c:v>495.26</c:v>
                </c:pt>
                <c:pt idx="15">
                  <c:v>166.76</c:v>
                </c:pt>
                <c:pt idx="16">
                  <c:v>178.76</c:v>
                </c:pt>
                <c:pt idx="17">
                  <c:v>-47.240000000000009</c:v>
                </c:pt>
                <c:pt idx="18">
                  <c:v>61.56</c:v>
                </c:pt>
                <c:pt idx="19">
                  <c:v>120.44999999999999</c:v>
                </c:pt>
                <c:pt idx="20">
                  <c:v>151.44999999999999</c:v>
                </c:pt>
                <c:pt idx="21">
                  <c:v>321.97999999999996</c:v>
                </c:pt>
                <c:pt idx="22">
                  <c:v>232.47999999999996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B5-4FA7-91D7-7EC002C0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684783"/>
        <c:axId val="1379681423"/>
      </c:scatterChart>
      <c:valAx>
        <c:axId val="13796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Monat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9681423"/>
        <c:crosses val="autoZero"/>
        <c:crossBetween val="midCat"/>
      </c:valAx>
      <c:valAx>
        <c:axId val="13796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407]_-;\-* #,##0\ [$€-407]_-;_-* &quot;-&quot;\ [$€-407]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968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webextension" Target="../webextensions/webextension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9524</xdr:colOff>
      <xdr:row>25</xdr:row>
      <xdr:rowOff>0</xdr:rowOff>
    </xdr:from>
    <xdr:to>
      <xdr:col>26</xdr:col>
      <xdr:colOff>25399</xdr:colOff>
      <xdr:row>47</xdr:row>
      <xdr:rowOff>25400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21BBC6D-DF69-B39A-C06F-337270B4E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590551</xdr:colOff>
      <xdr:row>58</xdr:row>
      <xdr:rowOff>177800</xdr:rowOff>
    </xdr:from>
    <xdr:to>
      <xdr:col>23</xdr:col>
      <xdr:colOff>701675</xdr:colOff>
      <xdr:row>69</xdr:row>
      <xdr:rowOff>44450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 title="Mini Calendar and Date Picker">
              <a:extLst>
                <a:ext uri="{FF2B5EF4-FFF2-40B4-BE49-F238E27FC236}">
                  <a16:creationId xmlns:a16="http://schemas.microsoft.com/office/drawing/2014/main" id="{7E8823C7-4D74-9F66-CB74-1D0CBF658E3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2"/>
            </a:graphicData>
          </a:graphic>
        </xdr:graphicFrame>
      </mc:Choice>
      <mc:Fallback>
        <xdr:pic>
          <xdr:nvPicPr>
            <xdr:cNvPr id="3" name="Add-In 2" title="Mini Calendar and Date Picker">
              <a:extLst>
                <a:ext uri="{FF2B5EF4-FFF2-40B4-BE49-F238E27FC236}">
                  <a16:creationId xmlns:a16="http://schemas.microsoft.com/office/drawing/2014/main" id="{7E8823C7-4D74-9F66-CB74-1D0CBF658E3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DE5CD-05AF-42A6-89C3-063389810F99}" name="MobilePhone" displayName="MobilePhone" ref="B4:O49" totalsRowCount="1" headerRowDxfId="31">
  <autoFilter ref="B4:O48" xr:uid="{BACDE5CD-05AF-42A6-89C3-063389810F99}"/>
  <tableColumns count="14">
    <tableColumn id="6" xr3:uid="{2C52C888-7CE1-44C3-A398-64629366D8A0}" name="DD" dataDxfId="30" totalsRowDxfId="13"/>
    <tableColumn id="8" xr3:uid="{A78C1B1F-127C-4481-B2A2-7ADAFAE60393}" name="MM" dataDxfId="29" totalsRowDxfId="12"/>
    <tableColumn id="7" xr3:uid="{A3C0F324-6D28-4CA0-A9BA-4E3F36DD97FB}" name="YYYY" dataDxfId="28" totalsRowDxfId="11"/>
    <tableColumn id="13" xr3:uid="{43602564-C7C5-4F62-8E0C-031FC418BB74}" name="Kaufdatum" dataDxfId="27" totalsRowDxfId="10">
      <calculatedColumnFormula>DATE(MobilePhone[[#This Row],[YYYY]],MobilePhone[[#This Row],[MM]],MobilePhone[[#This Row],[DD]])</calculatedColumnFormula>
    </tableColumn>
    <tableColumn id="14" xr3:uid="{78C80C26-E8EB-4FE0-B0EF-59E2FC603A6F}" name="Verkaufsdatum" dataDxfId="26" totalsRowDxfId="9"/>
    <tableColumn id="9" xr3:uid="{07CBF6B1-9430-4567-BCDA-65443A13C80A}" name="Modell" dataDxfId="25" totalsRowDxfId="8"/>
    <tableColumn id="10" xr3:uid="{6290745A-50EE-459F-B524-519C0EDB06C7}" name="Speicher" dataDxfId="24" totalsRowDxfId="7"/>
    <tableColumn id="1" xr3:uid="{144B0963-B6C8-4362-AE57-8EB4EB3A5B9E}" name="Farbe" dataDxfId="23" totalsRowDxfId="6"/>
    <tableColumn id="12" xr3:uid="{000E4286-D0BA-45AE-B912-6A793D403019}" name="Verfolgung" dataDxfId="22" totalsRowDxfId="5">
      <calculatedColumnFormula>HYPERLINK("https://www.dhl.de/de/privatkunden/dhl-sendungsverfolgung.html?piececode=00340434391938061790", "Verfolgung")</calculatedColumnFormula>
    </tableColumn>
    <tableColumn id="3" xr3:uid="{BC8B4961-5FEB-44E2-8DFD-248BB9AE1C8F}" name="Einkaufspreis" totalsRowFunction="custom" dataDxfId="21" totalsRowDxfId="4" dataCellStyle="Prozent">
      <totalsRowFormula>SUM(MobilePhone[Einkaufspreis])</totalsRowFormula>
    </tableColumn>
    <tableColumn id="4" xr3:uid="{69972EE7-6DCF-4643-9316-372D28971820}" name="Verkaufspreis" totalsRowFunction="custom" totalsRowDxfId="3">
      <totalsRowFormula>SUM(MobilePhone[Verkaufspreis])</totalsRowFormula>
    </tableColumn>
    <tableColumn id="5" xr3:uid="{91C19698-5AAB-48DF-822F-AAF135A16CF6}" name="Gewinn" totalsRowFunction="custom" dataDxfId="20" totalsRowDxfId="2">
      <calculatedColumnFormula>L5-K5</calculatedColumnFormula>
      <totalsRowFormula>SUM(MobilePhone[Gewinn])</totalsRowFormula>
    </tableColumn>
    <tableColumn id="2" xr3:uid="{8A3EFE43-43DB-4685-9F6F-94373538DFC5}" name="Vermoegen" dataDxfId="19" totalsRowDxfId="1">
      <calculatedColumnFormula>SUM($M$5:M5)</calculatedColumnFormula>
    </tableColumn>
    <tableColumn id="11" xr3:uid="{44363E9D-A9D2-4BD6-8C3D-90D2F6767A2F}" name="Marge" dataDxfId="18" totalsRowDxfId="0" dataCellStyle="Prozent">
      <calculatedColumnFormula>MobilePhone[[#This Row],[Gewinn]]/MobilePhone[[#This Row],[Einkaufspreis]]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F2694E-0179-456E-9DAF-999C21F9388E}" name="Tabelle4" displayName="Tabelle4" ref="Q4:U16" totalsRowShown="0">
  <autoFilter ref="Q4:U16" xr:uid="{BCF2694E-0179-456E-9DAF-999C21F9388E}"/>
  <tableColumns count="5">
    <tableColumn id="1" xr3:uid="{2C1C3648-0BD0-4844-8F8C-223E4639733D}" name="Monat" dataDxfId="17"/>
    <tableColumn id="2" xr3:uid="{3520A11A-B797-43CE-9E27-7F428CE41904}" name="Umsatz" dataDxfId="16">
      <calculatedColumnFormula>SUMIFS(MobilePhone[Verkaufspreis], MobilePhone[MM], Tabelle4[[#This Row],[Monat]])</calculatedColumnFormula>
    </tableColumn>
    <tableColumn id="3" xr3:uid="{EE104E44-7115-4961-AEC8-B252FE11E39F}" name="Gewinn" dataDxfId="15">
      <calculatedColumnFormula>SUMIFS(MobilePhone[Gewinn], MobilePhone[MM], Tabelle4[[#This Row],[Monat]])</calculatedColumnFormula>
    </tableColumn>
    <tableColumn id="6" xr3:uid="{B681BBF6-8096-48CE-AE11-E27E3EDFB633}" name="Vermoegen" dataDxfId="14">
      <calculatedColumnFormula>SUM($S$5:S5)</calculatedColumnFormula>
    </tableColumn>
    <tableColumn id="4" xr3:uid="{FEA7B855-DE4C-494E-937A-A60D0F474812}" name="Gewinn Marge" dataCellStyle="Prozent">
      <calculatedColumnFormula>Tabelle4[[#This Row],[Gewinn]]/Tabelle4[[#This Row],[Umsatz]]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BBEEA-605F-4E04-B265-7A5016189EAD}" name="Tabelle1" displayName="Tabelle1" ref="B3:B52" totalsRowShown="0">
  <autoFilter ref="B3:B52" xr:uid="{76BBBEEA-605F-4E04-B265-7A5016189EAD}"/>
  <tableColumns count="1">
    <tableColumn id="1" xr3:uid="{83A45D08-D6FA-4DD9-BF77-2BEDF325459E}" name="iPhone Mode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CF0BC-B1A7-4BFC-BF4D-5D16EC03DB9B}" name="Tabelle2" displayName="Tabelle2" ref="D3:D9" totalsRowShown="0">
  <autoFilter ref="D3:D9" xr:uid="{87BCF0BC-B1A7-4BFC-BF4D-5D16EC03DB9B}"/>
  <tableColumns count="1">
    <tableColumn id="1" xr3:uid="{53203826-88C2-4182-947C-0E56EC750919}" name="Speich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905DC5-B6C1-43C1-A231-99885DB55AAA}" name="Tabelle5" displayName="Tabelle5" ref="F3:F16" totalsRowShown="0">
  <autoFilter ref="F3:F16" xr:uid="{EF905DC5-B6C1-43C1-A231-99885DB55AAA}"/>
  <tableColumns count="1">
    <tableColumn id="1" xr3:uid="{843EA75C-DC93-41EB-BCC8-3F4BA4FE4480}" name="Far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7E8823C7-4D74-9F66-CB74-1D0CBF658E3D}">
  <we:reference id="wa102957665" version="1.3.0.0" store="de-DE" storeType="OMEX"/>
  <we:alternateReferences>
    <we:reference id="wa102957665" version="1.3.0.0" store="wa102957665" storeType="OMEX"/>
  </we:alternateReferences>
  <we:properties>
    <we:property name="opt_month" value="&quot;2025-10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3A26-AD7F-4869-8B71-70C2D7B445E9}">
  <dimension ref="B4:U141"/>
  <sheetViews>
    <sheetView tabSelected="1" zoomScale="70" zoomScaleNormal="70" workbookViewId="0">
      <selection activeCell="F42" sqref="F42"/>
    </sheetView>
  </sheetViews>
  <sheetFormatPr baseColWidth="10" defaultRowHeight="14.5" x14ac:dyDescent="0.35"/>
  <cols>
    <col min="2" max="2" width="7.81640625" style="5" bestFit="1" customWidth="1"/>
    <col min="3" max="3" width="25.54296875" style="5" bestFit="1" customWidth="1"/>
    <col min="4" max="4" width="18.6328125" style="5" bestFit="1" customWidth="1"/>
    <col min="5" max="5" width="15.453125" bestFit="1" customWidth="1"/>
    <col min="6" max="6" width="18.1796875" bestFit="1" customWidth="1"/>
    <col min="7" max="7" width="16" bestFit="1" customWidth="1"/>
    <col min="8" max="8" width="15.81640625" customWidth="1"/>
    <col min="9" max="9" width="14.81640625" customWidth="1"/>
    <col min="10" max="10" width="14.453125" bestFit="1" customWidth="1"/>
    <col min="11" max="11" width="14.453125" style="5" customWidth="1"/>
    <col min="12" max="12" width="14.54296875" bestFit="1" customWidth="1"/>
    <col min="13" max="13" width="12.453125" bestFit="1" customWidth="1"/>
    <col min="14" max="14" width="13.54296875" customWidth="1"/>
  </cols>
  <sheetData>
    <row r="4" spans="2:21" x14ac:dyDescent="0.35">
      <c r="B4" s="4" t="s">
        <v>13</v>
      </c>
      <c r="C4" s="4" t="s">
        <v>14</v>
      </c>
      <c r="D4" s="4" t="s">
        <v>15</v>
      </c>
      <c r="E4" s="4" t="s">
        <v>61</v>
      </c>
      <c r="F4" s="4" t="s">
        <v>63</v>
      </c>
      <c r="G4" s="4" t="s">
        <v>62</v>
      </c>
      <c r="H4" s="4" t="s">
        <v>6</v>
      </c>
      <c r="I4" s="4" t="s">
        <v>39</v>
      </c>
      <c r="J4" s="4" t="s">
        <v>57</v>
      </c>
      <c r="K4" s="1" t="s">
        <v>0</v>
      </c>
      <c r="L4" s="1" t="s">
        <v>1</v>
      </c>
      <c r="M4" s="1" t="s">
        <v>2</v>
      </c>
      <c r="N4" s="1" t="s">
        <v>58</v>
      </c>
      <c r="O4" s="4" t="s">
        <v>18</v>
      </c>
      <c r="Q4" t="s">
        <v>12</v>
      </c>
      <c r="R4" t="s">
        <v>16</v>
      </c>
      <c r="S4" t="s">
        <v>2</v>
      </c>
      <c r="T4" t="s">
        <v>58</v>
      </c>
      <c r="U4" t="s">
        <v>17</v>
      </c>
    </row>
    <row r="5" spans="2:21" x14ac:dyDescent="0.35">
      <c r="B5" s="5">
        <v>14</v>
      </c>
      <c r="C5" s="5">
        <v>1</v>
      </c>
      <c r="D5" s="5">
        <v>2026</v>
      </c>
      <c r="E5" s="12">
        <f>DATE(MobilePhone[[#This Row],[YYYY]],MobilePhone[[#This Row],[MM]],MobilePhone[[#This Row],[DD]])</f>
        <v>46036</v>
      </c>
      <c r="F5" s="12" t="s">
        <v>84</v>
      </c>
      <c r="G5" s="5" t="s">
        <v>36</v>
      </c>
      <c r="H5" s="5" t="s">
        <v>9</v>
      </c>
      <c r="I5" s="6" t="s">
        <v>45</v>
      </c>
      <c r="J5" s="11" t="str">
        <f t="shared" ref="J5" si="0">HYPERLINK("https://www.dhl.de/de/privatkunden/dhl-sendungsverfolgung.html?piececode=00340434391938061790", "Verfolgung")</f>
        <v>Verfolgung</v>
      </c>
      <c r="K5" s="3">
        <v>308</v>
      </c>
      <c r="L5" s="2">
        <v>350</v>
      </c>
      <c r="M5" s="2">
        <f>L5-K5</f>
        <v>42</v>
      </c>
      <c r="N5" s="2">
        <f>SUM($M$5:M5)</f>
        <v>42</v>
      </c>
      <c r="O5" s="9">
        <f>MobilePhone[[#This Row],[Gewinn]]/MobilePhone[[#This Row],[Einkaufspreis]]</f>
        <v>0.13636363636363635</v>
      </c>
      <c r="Q5" s="5">
        <v>1</v>
      </c>
      <c r="R5" s="7">
        <f>SUMIFS(MobilePhone[Verkaufspreis], MobilePhone[MM], Tabelle4[[#This Row],[Monat]])</f>
        <v>3320.0200000000004</v>
      </c>
      <c r="S5" s="7">
        <f>SUMIFS(MobilePhone[Gewinn], MobilePhone[MM], Tabelle4[[#This Row],[Monat]])</f>
        <v>166.76</v>
      </c>
      <c r="T5" s="7">
        <f>SUM($S$5:S5)</f>
        <v>166.76</v>
      </c>
      <c r="U5" s="8">
        <f>Tabelle4[[#This Row],[Gewinn]]/Tabelle4[[#This Row],[Umsatz]]</f>
        <v>5.022861308064408E-2</v>
      </c>
    </row>
    <row r="6" spans="2:21" x14ac:dyDescent="0.35">
      <c r="B6" s="5">
        <v>18</v>
      </c>
      <c r="C6" s="5">
        <v>1</v>
      </c>
      <c r="D6" s="5">
        <v>2026</v>
      </c>
      <c r="E6" s="12">
        <f>DATE(MobilePhone[[#This Row],[YYYY]],MobilePhone[[#This Row],[MM]],MobilePhone[[#This Row],[DD]])</f>
        <v>46040</v>
      </c>
      <c r="F6" s="12" t="s">
        <v>77</v>
      </c>
      <c r="G6" s="6" t="s">
        <v>52</v>
      </c>
      <c r="H6" s="6" t="s">
        <v>9</v>
      </c>
      <c r="I6" s="6" t="s">
        <v>41</v>
      </c>
      <c r="J6" s="11" t="str">
        <f>HYPERLINK("https://www.dhl.de/de/privatkunden/dhl-sendungsverfolgung.html?piececode=358541562908", "Verfolgung")</f>
        <v>Verfolgung</v>
      </c>
      <c r="K6" s="3">
        <v>174.5</v>
      </c>
      <c r="L6" s="2">
        <v>230</v>
      </c>
      <c r="M6" s="2">
        <f t="shared" ref="M6" si="1">L6-K6</f>
        <v>55.5</v>
      </c>
      <c r="N6" s="2">
        <f>SUM($M$5:M6)</f>
        <v>97.5</v>
      </c>
      <c r="O6" s="9">
        <f>MobilePhone[[#This Row],[Gewinn]]/MobilePhone[[#This Row],[Einkaufspreis]]</f>
        <v>0.31805157593123207</v>
      </c>
      <c r="Q6" s="5">
        <f>1+Q5</f>
        <v>2</v>
      </c>
      <c r="R6" s="7">
        <f>SUMIFS(MobilePhone[Verkaufspreis], MobilePhone[MM], Tabelle4[[#This Row],[Monat]])</f>
        <v>2209.77</v>
      </c>
      <c r="S6" s="7">
        <f>SUMIFS(MobilePhone[Gewinn], MobilePhone[MM], Tabelle4[[#This Row],[Monat]])</f>
        <v>-2130.04</v>
      </c>
      <c r="T6" s="7">
        <f>SUM($S$5:S6)</f>
        <v>-1963.28</v>
      </c>
      <c r="U6" s="8">
        <f>Tabelle4[[#This Row],[Gewinn]]/Tabelle4[[#This Row],[Umsatz]]</f>
        <v>-0.96391932192038088</v>
      </c>
    </row>
    <row r="7" spans="2:21" x14ac:dyDescent="0.35">
      <c r="B7" s="5">
        <v>18</v>
      </c>
      <c r="C7" s="5">
        <v>1</v>
      </c>
      <c r="D7" s="5">
        <v>2026</v>
      </c>
      <c r="E7" s="12">
        <f>DATE(MobilePhone[[#This Row],[YYYY]],MobilePhone[[#This Row],[MM]],MobilePhone[[#This Row],[DD]])</f>
        <v>46040</v>
      </c>
      <c r="F7" s="12" t="s">
        <v>79</v>
      </c>
      <c r="G7" s="6" t="s">
        <v>75</v>
      </c>
      <c r="H7" s="6" t="s">
        <v>10</v>
      </c>
      <c r="I7" s="6" t="s">
        <v>43</v>
      </c>
      <c r="J7" s="11" t="str">
        <f>HYPERLINK("https://www.dhl.de/de/privatkunden/dhl-sendungsverfolgung.html?piececode=358541567627", "Verfolgung")</f>
        <v>Verfolgung</v>
      </c>
      <c r="K7" s="3">
        <v>92.5</v>
      </c>
      <c r="L7" s="2">
        <v>230</v>
      </c>
      <c r="M7" s="2">
        <f>L7-K7</f>
        <v>137.5</v>
      </c>
      <c r="N7" s="2">
        <f>SUM($M$5:M7)</f>
        <v>235</v>
      </c>
      <c r="O7" s="9">
        <f>MobilePhone[[#This Row],[Gewinn]]/MobilePhone[[#This Row],[Einkaufspreis]]</f>
        <v>1.4864864864864864</v>
      </c>
      <c r="Q7" s="5">
        <f>1+Q6</f>
        <v>3</v>
      </c>
      <c r="R7" s="7">
        <f>SUMIFS(MobilePhone[Verkaufspreis], MobilePhone[MM], Tabelle4[[#This Row],[Monat]])</f>
        <v>0</v>
      </c>
      <c r="S7" s="7">
        <f>SUMIFS(MobilePhone[Gewinn], MobilePhone[MM], Tabelle4[[#This Row],[Monat]])</f>
        <v>0</v>
      </c>
      <c r="T7" s="7">
        <f>SUM($S$5:S7)</f>
        <v>-1963.28</v>
      </c>
      <c r="U7" s="8" t="e">
        <f>Tabelle4[[#This Row],[Gewinn]]/Tabelle4[[#This Row],[Umsatz]]</f>
        <v>#DIV/0!</v>
      </c>
    </row>
    <row r="8" spans="2:21" x14ac:dyDescent="0.35">
      <c r="B8" s="5">
        <v>20</v>
      </c>
      <c r="C8" s="5">
        <v>1</v>
      </c>
      <c r="D8" s="5">
        <v>2026</v>
      </c>
      <c r="E8" s="12">
        <f>DATE(MobilePhone[[#This Row],[YYYY]],MobilePhone[[#This Row],[MM]],MobilePhone[[#This Row],[DD]])</f>
        <v>46042</v>
      </c>
      <c r="F8" s="12" t="s">
        <v>78</v>
      </c>
      <c r="G8" s="6" t="s">
        <v>34</v>
      </c>
      <c r="H8" s="6" t="s">
        <v>10</v>
      </c>
      <c r="I8" s="6" t="s">
        <v>41</v>
      </c>
      <c r="J8" s="11" t="str">
        <f>HYPERLINK("https://www.dhl.de/de/privatkunden/dhl-sendungsverfolgung.html?piececode=358542622939", "Verfolgung")</f>
        <v>Verfolgung</v>
      </c>
      <c r="K8" s="3">
        <v>263</v>
      </c>
      <c r="L8" s="2">
        <v>320</v>
      </c>
      <c r="M8" s="2">
        <f t="shared" ref="M8:M11" si="2">L8-K8</f>
        <v>57</v>
      </c>
      <c r="N8" s="2">
        <f>SUM($M$5:M8)</f>
        <v>292</v>
      </c>
      <c r="O8" s="9">
        <f>MobilePhone[[#This Row],[Gewinn]]/MobilePhone[[#This Row],[Einkaufspreis]]</f>
        <v>0.21673003802281368</v>
      </c>
      <c r="Q8" s="5">
        <f>1+Q7</f>
        <v>4</v>
      </c>
      <c r="R8" s="7">
        <f>SUMIFS(MobilePhone[Verkaufspreis], MobilePhone[MM], Tabelle4[[#This Row],[Monat]])</f>
        <v>0</v>
      </c>
      <c r="S8" s="7">
        <f>SUMIFS(MobilePhone[Gewinn], MobilePhone[MM], Tabelle4[[#This Row],[Monat]])</f>
        <v>0</v>
      </c>
      <c r="T8" s="7">
        <f>SUM($S$5:S8)</f>
        <v>-1963.28</v>
      </c>
      <c r="U8" s="8" t="e">
        <f>Tabelle4[[#This Row],[Gewinn]]/Tabelle4[[#This Row],[Umsatz]]</f>
        <v>#DIV/0!</v>
      </c>
    </row>
    <row r="9" spans="2:21" x14ac:dyDescent="0.35">
      <c r="B9" s="5">
        <v>21</v>
      </c>
      <c r="C9" s="5">
        <v>1</v>
      </c>
      <c r="D9" s="5">
        <v>2026</v>
      </c>
      <c r="E9" s="12">
        <f>DATE(MobilePhone[[#This Row],[YYYY]],MobilePhone[[#This Row],[MM]],MobilePhone[[#This Row],[DD]])</f>
        <v>46043</v>
      </c>
      <c r="F9" s="12" t="s">
        <v>79</v>
      </c>
      <c r="G9" s="6" t="s">
        <v>59</v>
      </c>
      <c r="H9" s="6" t="s">
        <v>9</v>
      </c>
      <c r="I9" s="6" t="s">
        <v>55</v>
      </c>
      <c r="J9" s="11"/>
      <c r="K9" s="3">
        <v>200</v>
      </c>
      <c r="L9" s="2">
        <v>227.28</v>
      </c>
      <c r="M9" s="2">
        <f t="shared" si="2"/>
        <v>27.28</v>
      </c>
      <c r="N9" s="2">
        <f>SUM($M$5:M9)</f>
        <v>319.27999999999997</v>
      </c>
      <c r="O9" s="9">
        <f>MobilePhone[[#This Row],[Gewinn]]/MobilePhone[[#This Row],[Einkaufspreis]]</f>
        <v>0.13639999999999999</v>
      </c>
      <c r="Q9" s="5">
        <f>1+Q8</f>
        <v>5</v>
      </c>
      <c r="R9" s="7">
        <f>SUMIFS(MobilePhone[Verkaufspreis], MobilePhone[MM], Tabelle4[[#This Row],[Monat]])</f>
        <v>0</v>
      </c>
      <c r="S9" s="7">
        <f>SUMIFS(MobilePhone[Gewinn], MobilePhone[MM], Tabelle4[[#This Row],[Monat]])</f>
        <v>0</v>
      </c>
      <c r="T9" s="7">
        <f>SUM($S$5:S9)</f>
        <v>-1963.28</v>
      </c>
      <c r="U9" s="8" t="e">
        <f>Tabelle4[[#This Row],[Gewinn]]/Tabelle4[[#This Row],[Umsatz]]</f>
        <v>#DIV/0!</v>
      </c>
    </row>
    <row r="10" spans="2:21" x14ac:dyDescent="0.35">
      <c r="B10" s="5">
        <v>21</v>
      </c>
      <c r="C10" s="5">
        <v>1</v>
      </c>
      <c r="D10" s="5">
        <v>2026</v>
      </c>
      <c r="E10" s="12">
        <f>DATE(MobilePhone[[#This Row],[YYYY]],MobilePhone[[#This Row],[MM]],MobilePhone[[#This Row],[DD]])</f>
        <v>46043</v>
      </c>
      <c r="F10" s="12"/>
      <c r="G10" s="6" t="s">
        <v>76</v>
      </c>
      <c r="H10" s="6" t="s">
        <v>10</v>
      </c>
      <c r="I10" s="6" t="s">
        <v>43</v>
      </c>
      <c r="J10" s="11" t="str">
        <f>HYPERLINK("https://www.dhl.de/de/privatkunden/dhl-sendungsverfolgung.html?piececode=RT227305939DE", "Verfolgung")</f>
        <v>Verfolgung</v>
      </c>
      <c r="K10" s="3">
        <v>615.5</v>
      </c>
      <c r="L10" s="2">
        <v>615.5</v>
      </c>
      <c r="M10" s="2">
        <f t="shared" si="2"/>
        <v>0</v>
      </c>
      <c r="N10" s="2">
        <f>SUM($M$5:M10)</f>
        <v>319.27999999999997</v>
      </c>
      <c r="O10" s="9">
        <f>MobilePhone[[#This Row],[Gewinn]]/MobilePhone[[#This Row],[Einkaufspreis]]</f>
        <v>0</v>
      </c>
      <c r="Q10" s="5">
        <f t="shared" ref="Q10:Q16" si="3">1+Q9</f>
        <v>6</v>
      </c>
      <c r="R10" s="7">
        <f>SUMIFS(MobilePhone[Verkaufspreis], MobilePhone[MM], Tabelle4[[#This Row],[Monat]])</f>
        <v>0</v>
      </c>
      <c r="S10" s="7">
        <f>SUMIFS(MobilePhone[Gewinn], MobilePhone[MM], Tabelle4[[#This Row],[Monat]])</f>
        <v>0</v>
      </c>
      <c r="T10" s="7">
        <f>SUM($S$5:S10)</f>
        <v>-1963.28</v>
      </c>
      <c r="U10" s="8" t="e">
        <f>Tabelle4[[#This Row],[Gewinn]]/Tabelle4[[#This Row],[Umsatz]]</f>
        <v>#DIV/0!</v>
      </c>
    </row>
    <row r="11" spans="2:21" x14ac:dyDescent="0.35">
      <c r="B11" s="5">
        <v>26</v>
      </c>
      <c r="C11" s="5">
        <v>1</v>
      </c>
      <c r="D11" s="5">
        <v>2026</v>
      </c>
      <c r="E11" s="12">
        <f>DATE(MobilePhone[[#This Row],[YYYY]],MobilePhone[[#This Row],[MM]],MobilePhone[[#This Row],[DD]])</f>
        <v>46048</v>
      </c>
      <c r="F11" s="12"/>
      <c r="G11" s="6" t="s">
        <v>80</v>
      </c>
      <c r="H11" s="6" t="s">
        <v>9</v>
      </c>
      <c r="I11" s="6" t="s">
        <v>43</v>
      </c>
      <c r="J11" s="11"/>
      <c r="K11" s="3">
        <v>87.53</v>
      </c>
      <c r="L11" s="2">
        <v>87.53</v>
      </c>
      <c r="M11" s="2">
        <f t="shared" si="2"/>
        <v>0</v>
      </c>
      <c r="N11" s="2">
        <f>SUM($M$5:M11)</f>
        <v>319.27999999999997</v>
      </c>
      <c r="O11" s="9">
        <f>MobilePhone[[#This Row],[Gewinn]]/MobilePhone[[#This Row],[Einkaufspreis]]</f>
        <v>0</v>
      </c>
      <c r="Q11" s="5">
        <f t="shared" si="3"/>
        <v>7</v>
      </c>
      <c r="R11" s="7">
        <f>SUMIFS(MobilePhone[Verkaufspreis], MobilePhone[MM], Tabelle4[[#This Row],[Monat]])</f>
        <v>0</v>
      </c>
      <c r="S11" s="7">
        <f>SUMIFS(MobilePhone[Gewinn], MobilePhone[MM], Tabelle4[[#This Row],[Monat]])</f>
        <v>0</v>
      </c>
      <c r="T11" s="7">
        <f>SUM($S$5:S11)</f>
        <v>-1963.28</v>
      </c>
      <c r="U11" s="8" t="e">
        <f>Tabelle4[[#This Row],[Gewinn]]/Tabelle4[[#This Row],[Umsatz]]</f>
        <v>#DIV/0!</v>
      </c>
    </row>
    <row r="12" spans="2:21" x14ac:dyDescent="0.35">
      <c r="B12" s="5">
        <v>26</v>
      </c>
      <c r="C12" s="5">
        <v>1</v>
      </c>
      <c r="D12" s="5">
        <v>2026</v>
      </c>
      <c r="E12" s="12">
        <f>DATE(MobilePhone[[#This Row],[YYYY]],MobilePhone[[#This Row],[MM]],MobilePhone[[#This Row],[DD]])</f>
        <v>46048</v>
      </c>
      <c r="F12" s="12">
        <v>46083</v>
      </c>
      <c r="G12" s="6" t="s">
        <v>30</v>
      </c>
      <c r="H12" s="6" t="s">
        <v>9</v>
      </c>
      <c r="I12" s="6" t="s">
        <v>40</v>
      </c>
      <c r="J12" s="11" t="str">
        <f>HYPERLINK("https://www.dhl.de/de/privatkunden/dhl-sendungsverfolgung.html?piececode=358544575764", "Verfolgung")</f>
        <v>Verfolgung</v>
      </c>
      <c r="K12" s="3">
        <v>51.6</v>
      </c>
      <c r="L12" s="2">
        <v>120.87</v>
      </c>
      <c r="M12" s="2">
        <f t="shared" ref="M12:M15" si="4">L12-K12</f>
        <v>69.27000000000001</v>
      </c>
      <c r="N12" s="2">
        <f>SUM($M$5:M12)</f>
        <v>388.54999999999995</v>
      </c>
      <c r="O12" s="9">
        <f>MobilePhone[[#This Row],[Gewinn]]/MobilePhone[[#This Row],[Einkaufspreis]]</f>
        <v>1.3424418604651165</v>
      </c>
      <c r="Q12" s="5">
        <f t="shared" si="3"/>
        <v>8</v>
      </c>
      <c r="R12" s="7">
        <f>SUMIFS(MobilePhone[Verkaufspreis], MobilePhone[MM], Tabelle4[[#This Row],[Monat]])</f>
        <v>0</v>
      </c>
      <c r="S12" s="7">
        <f>SUMIFS(MobilePhone[Gewinn], MobilePhone[MM], Tabelle4[[#This Row],[Monat]])</f>
        <v>0</v>
      </c>
      <c r="T12" s="7">
        <f>SUM($S$5:S12)</f>
        <v>-1963.28</v>
      </c>
      <c r="U12" s="8" t="e">
        <f>Tabelle4[[#This Row],[Gewinn]]/Tabelle4[[#This Row],[Umsatz]]</f>
        <v>#DIV/0!</v>
      </c>
    </row>
    <row r="13" spans="2:21" x14ac:dyDescent="0.35">
      <c r="B13" s="5">
        <v>27</v>
      </c>
      <c r="C13" s="5">
        <v>1</v>
      </c>
      <c r="D13" s="5">
        <v>2026</v>
      </c>
      <c r="E13" s="12">
        <f>DATE(MobilePhone[[#This Row],[YYYY]],MobilePhone[[#This Row],[MM]],MobilePhone[[#This Row],[DD]])</f>
        <v>46049</v>
      </c>
      <c r="F13" s="12"/>
      <c r="G13" s="6" t="s">
        <v>38</v>
      </c>
      <c r="H13" s="6" t="s">
        <v>9</v>
      </c>
      <c r="I13" s="6" t="s">
        <v>45</v>
      </c>
      <c r="J13" s="11"/>
      <c r="K13" s="3">
        <v>174.5</v>
      </c>
      <c r="L13" s="2"/>
      <c r="M13" s="2">
        <f t="shared" si="4"/>
        <v>-174.5</v>
      </c>
      <c r="N13" s="2">
        <f>SUM($M$5:M13)</f>
        <v>214.04999999999995</v>
      </c>
      <c r="O13" s="9">
        <f>MobilePhone[[#This Row],[Gewinn]]/MobilePhone[[#This Row],[Einkaufspreis]]</f>
        <v>-1</v>
      </c>
      <c r="Q13" s="5">
        <f t="shared" si="3"/>
        <v>9</v>
      </c>
      <c r="R13" s="7">
        <f>SUMIFS(MobilePhone[Verkaufspreis], MobilePhone[MM], Tabelle4[[#This Row],[Monat]])</f>
        <v>0</v>
      </c>
      <c r="S13" s="7">
        <f>SUMIFS(MobilePhone[Gewinn], MobilePhone[MM], Tabelle4[[#This Row],[Monat]])</f>
        <v>0</v>
      </c>
      <c r="T13" s="7">
        <f>SUM($S$5:S13)</f>
        <v>-1963.28</v>
      </c>
      <c r="U13" s="8" t="e">
        <f>Tabelle4[[#This Row],[Gewinn]]/Tabelle4[[#This Row],[Umsatz]]</f>
        <v>#DIV/0!</v>
      </c>
    </row>
    <row r="14" spans="2:21" x14ac:dyDescent="0.35">
      <c r="B14" s="5">
        <v>27</v>
      </c>
      <c r="C14" s="5">
        <v>1</v>
      </c>
      <c r="D14" s="5">
        <v>2026</v>
      </c>
      <c r="E14" s="12">
        <f>DATE(MobilePhone[[#This Row],[YYYY]],MobilePhone[[#This Row],[MM]],MobilePhone[[#This Row],[DD]])</f>
        <v>46049</v>
      </c>
      <c r="F14" s="12" t="s">
        <v>83</v>
      </c>
      <c r="G14" s="6" t="s">
        <v>29</v>
      </c>
      <c r="H14" s="6"/>
      <c r="I14" s="6" t="s">
        <v>41</v>
      </c>
      <c r="J14" s="11" t="str">
        <f>HYPERLINK("https://www.dhl.de/de/privatkunden/dhl-sendungsverfolgung.html?piececode=00340434391935097525", "Verfolgung")</f>
        <v>Verfolgung</v>
      </c>
      <c r="K14" s="3">
        <v>92.6</v>
      </c>
      <c r="L14" s="2">
        <v>115</v>
      </c>
      <c r="M14" s="2">
        <f t="shared" si="4"/>
        <v>22.400000000000006</v>
      </c>
      <c r="N14" s="2">
        <f>SUM($M$5:M14)</f>
        <v>236.44999999999996</v>
      </c>
      <c r="O14" s="9">
        <f>MobilePhone[[#This Row],[Gewinn]]/MobilePhone[[#This Row],[Einkaufspreis]]</f>
        <v>0.24190064794816421</v>
      </c>
      <c r="Q14" s="5">
        <f t="shared" si="3"/>
        <v>10</v>
      </c>
      <c r="R14" s="7">
        <f>SUMIFS(MobilePhone[Verkaufspreis], MobilePhone[MM], Tabelle4[[#This Row],[Monat]])</f>
        <v>0</v>
      </c>
      <c r="S14" s="7">
        <f>SUMIFS(MobilePhone[Gewinn], MobilePhone[MM], Tabelle4[[#This Row],[Monat]])</f>
        <v>0</v>
      </c>
      <c r="T14" s="7">
        <f>SUM($S$5:S14)</f>
        <v>-1963.28</v>
      </c>
      <c r="U14" s="8" t="e">
        <f>Tabelle4[[#This Row],[Gewinn]]/Tabelle4[[#This Row],[Umsatz]]</f>
        <v>#DIV/0!</v>
      </c>
    </row>
    <row r="15" spans="2:21" x14ac:dyDescent="0.35">
      <c r="B15" s="5">
        <v>27</v>
      </c>
      <c r="C15" s="5">
        <v>1</v>
      </c>
      <c r="D15" s="5">
        <v>2026</v>
      </c>
      <c r="E15" s="12">
        <f>DATE(MobilePhone[[#This Row],[YYYY]],MobilePhone[[#This Row],[MM]],MobilePhone[[#This Row],[DD]])</f>
        <v>46049</v>
      </c>
      <c r="F15" s="12" t="s">
        <v>85</v>
      </c>
      <c r="G15" s="6" t="s">
        <v>59</v>
      </c>
      <c r="H15" s="6" t="s">
        <v>10</v>
      </c>
      <c r="I15" s="6" t="s">
        <v>42</v>
      </c>
      <c r="J15" s="11" t="str">
        <f>HYPERLINK("https://www.dhl.de/de/privatkunden/dhl-sendungsverfolgung.html?piececode=358545065348", "Verfolgung")</f>
        <v>Verfolgung</v>
      </c>
      <c r="K15" s="3">
        <v>166.58</v>
      </c>
      <c r="L15" s="2">
        <v>246.28</v>
      </c>
      <c r="M15" s="2">
        <f t="shared" si="4"/>
        <v>79.699999999999989</v>
      </c>
      <c r="N15" s="2">
        <f>SUM($M$5:M15)</f>
        <v>316.14999999999998</v>
      </c>
      <c r="O15" s="9">
        <f>MobilePhone[[#This Row],[Gewinn]]/MobilePhone[[#This Row],[Einkaufspreis]]</f>
        <v>0.47844879337255364</v>
      </c>
      <c r="Q15" s="5">
        <f t="shared" si="3"/>
        <v>11</v>
      </c>
      <c r="R15" s="7">
        <f>SUMIFS(MobilePhone[Verkaufspreis], MobilePhone[MM], Tabelle4[[#This Row],[Monat]])</f>
        <v>0</v>
      </c>
      <c r="S15" s="7">
        <f>SUMIFS(MobilePhone[Gewinn], MobilePhone[MM], Tabelle4[[#This Row],[Monat]])</f>
        <v>0</v>
      </c>
      <c r="T15" s="7">
        <f>SUM($S$5:S15)</f>
        <v>-1963.28</v>
      </c>
      <c r="U15" s="8" t="e">
        <f>Tabelle4[[#This Row],[Gewinn]]/Tabelle4[[#This Row],[Umsatz]]</f>
        <v>#DIV/0!</v>
      </c>
    </row>
    <row r="16" spans="2:21" x14ac:dyDescent="0.35">
      <c r="B16" s="5">
        <v>27</v>
      </c>
      <c r="C16" s="5">
        <v>1</v>
      </c>
      <c r="D16" s="5">
        <v>2026</v>
      </c>
      <c r="E16" s="12">
        <f>DATE(MobilePhone[[#This Row],[YYYY]],MobilePhone[[#This Row],[MM]],MobilePhone[[#This Row],[DD]])</f>
        <v>46049</v>
      </c>
      <c r="F16" s="12">
        <v>46114</v>
      </c>
      <c r="G16" s="6" t="s">
        <v>82</v>
      </c>
      <c r="H16" s="6" t="s">
        <v>10</v>
      </c>
      <c r="I16" s="6" t="s">
        <v>67</v>
      </c>
      <c r="J16" s="11" t="str">
        <f>HYPERLINK("https://www.dhl.de/de/privatkunden/dhl-sendungsverfolgung.html?piececode=358545735432", "Verfolgung")</f>
        <v>Verfolgung</v>
      </c>
      <c r="K16" s="3">
        <v>149</v>
      </c>
      <c r="L16" s="2">
        <v>198.78</v>
      </c>
      <c r="M16" s="2">
        <f t="shared" ref="M16:M22" si="5">L16-K16</f>
        <v>49.78</v>
      </c>
      <c r="N16" s="2">
        <f>SUM($M$5:M16)</f>
        <v>365.92999999999995</v>
      </c>
      <c r="O16" s="9">
        <f>MobilePhone[[#This Row],[Gewinn]]/MobilePhone[[#This Row],[Einkaufspreis]]</f>
        <v>0.33409395973154365</v>
      </c>
      <c r="Q16" s="5">
        <f t="shared" si="3"/>
        <v>12</v>
      </c>
      <c r="R16" s="7">
        <f>SUMIFS(MobilePhone[Verkaufspreis], MobilePhone[MM], Tabelle4[[#This Row],[Monat]])</f>
        <v>0</v>
      </c>
      <c r="S16" s="7">
        <f>SUMIFS(MobilePhone[Gewinn], MobilePhone[MM], Tabelle4[[#This Row],[Monat]])</f>
        <v>0</v>
      </c>
      <c r="T16" s="7">
        <f>SUM($S$5:S16)</f>
        <v>-1963.28</v>
      </c>
      <c r="U16" s="8" t="e">
        <f>Tabelle4[[#This Row],[Gewinn]]/Tabelle4[[#This Row],[Umsatz]]</f>
        <v>#DIV/0!</v>
      </c>
    </row>
    <row r="17" spans="2:18" x14ac:dyDescent="0.35">
      <c r="B17" s="5">
        <v>27</v>
      </c>
      <c r="C17" s="5">
        <v>1</v>
      </c>
      <c r="D17" s="5">
        <v>2026</v>
      </c>
      <c r="E17" s="12">
        <f>DATE(MobilePhone[[#This Row],[YYYY]],MobilePhone[[#This Row],[MM]],MobilePhone[[#This Row],[DD]])</f>
        <v>46049</v>
      </c>
      <c r="F17" s="12">
        <v>46114</v>
      </c>
      <c r="G17" s="6" t="s">
        <v>31</v>
      </c>
      <c r="H17" s="6" t="s">
        <v>9</v>
      </c>
      <c r="I17" s="6" t="s">
        <v>41</v>
      </c>
      <c r="J17" s="11" t="str">
        <f>HYPERLINK("https://www.myhermes.de/empfangen/sendungsverfolgung/sendungsinformation#62027144321570", "Verfolgung")</f>
        <v>Verfolgung</v>
      </c>
      <c r="K17" s="3">
        <v>136.02000000000001</v>
      </c>
      <c r="L17" s="2">
        <v>198.78</v>
      </c>
      <c r="M17" s="2">
        <f t="shared" si="5"/>
        <v>62.759999999999991</v>
      </c>
      <c r="N17" s="2">
        <f>SUM($M$5:M17)</f>
        <v>428.68999999999994</v>
      </c>
      <c r="O17" s="9">
        <f>MobilePhone[[#This Row],[Gewinn]]/MobilePhone[[#This Row],[Einkaufspreis]]</f>
        <v>0.46140273489192757</v>
      </c>
    </row>
    <row r="18" spans="2:18" x14ac:dyDescent="0.35">
      <c r="B18" s="5">
        <v>28</v>
      </c>
      <c r="C18" s="5">
        <v>1</v>
      </c>
      <c r="D18" s="5">
        <v>2026</v>
      </c>
      <c r="E18" s="12">
        <f>DATE(MobilePhone[[#This Row],[YYYY]],MobilePhone[[#This Row],[MM]],MobilePhone[[#This Row],[DD]])</f>
        <v>46050</v>
      </c>
      <c r="F18" s="12" t="s">
        <v>85</v>
      </c>
      <c r="G18" s="6" t="s">
        <v>29</v>
      </c>
      <c r="H18" s="6" t="s">
        <v>8</v>
      </c>
      <c r="I18" s="6" t="s">
        <v>42</v>
      </c>
      <c r="J18" s="11"/>
      <c r="K18" s="3">
        <v>87.53</v>
      </c>
      <c r="L18" s="2">
        <v>100</v>
      </c>
      <c r="M18" s="2">
        <f t="shared" si="5"/>
        <v>12.469999999999999</v>
      </c>
      <c r="N18" s="2">
        <f>SUM($M$5:M18)</f>
        <v>441.15999999999997</v>
      </c>
      <c r="O18" s="9">
        <f>MobilePhone[[#This Row],[Gewinn]]/MobilePhone[[#This Row],[Einkaufspreis]]</f>
        <v>0.14246544042042728</v>
      </c>
    </row>
    <row r="19" spans="2:18" x14ac:dyDescent="0.35">
      <c r="B19" s="5">
        <v>31</v>
      </c>
      <c r="C19" s="5">
        <v>1</v>
      </c>
      <c r="D19" s="5">
        <v>2026</v>
      </c>
      <c r="E19" s="12">
        <f>DATE(MobilePhone[[#This Row],[YYYY]],MobilePhone[[#This Row],[MM]],MobilePhone[[#This Row],[DD]])</f>
        <v>46053</v>
      </c>
      <c r="F19" s="12">
        <v>46236</v>
      </c>
      <c r="G19" s="6" t="s">
        <v>54</v>
      </c>
      <c r="H19" s="6" t="s">
        <v>9</v>
      </c>
      <c r="I19" s="6" t="s">
        <v>40</v>
      </c>
      <c r="J19" s="11" t="str">
        <f>HYPERLINK("https://www.dhl.de/de/privatkunden/dhl-sendungsverfolgung.html?piececode=00340434391946207760", "Verfolgung")</f>
        <v>Verfolgung</v>
      </c>
      <c r="K19" s="3">
        <v>225.9</v>
      </c>
      <c r="L19" s="2">
        <v>280</v>
      </c>
      <c r="M19" s="2">
        <f t="shared" si="5"/>
        <v>54.099999999999994</v>
      </c>
      <c r="N19" s="2">
        <f>SUM($M$5:M19)</f>
        <v>495.26</v>
      </c>
      <c r="O19" s="9">
        <f>MobilePhone[[#This Row],[Gewinn]]/MobilePhone[[#This Row],[Einkaufspreis]]</f>
        <v>0.23948649845064185</v>
      </c>
    </row>
    <row r="20" spans="2:18" x14ac:dyDescent="0.35">
      <c r="B20" s="5">
        <v>31</v>
      </c>
      <c r="C20" s="5">
        <v>1</v>
      </c>
      <c r="D20" s="5">
        <v>2026</v>
      </c>
      <c r="E20" s="12">
        <f>DATE(MobilePhone[[#This Row],[YYYY]],MobilePhone[[#This Row],[MM]],MobilePhone[[#This Row],[DD]])</f>
        <v>46053</v>
      </c>
      <c r="F20" s="12"/>
      <c r="G20" s="6" t="s">
        <v>86</v>
      </c>
      <c r="H20" s="6"/>
      <c r="I20" s="6" t="s">
        <v>49</v>
      </c>
      <c r="J20" s="11"/>
      <c r="K20" s="3">
        <v>328.5</v>
      </c>
      <c r="L20" s="2"/>
      <c r="M20" s="2">
        <f t="shared" si="5"/>
        <v>-328.5</v>
      </c>
      <c r="N20" s="2">
        <f>SUM($M$5:M20)</f>
        <v>166.76</v>
      </c>
      <c r="O20" s="9">
        <f>MobilePhone[[#This Row],[Gewinn]]/MobilePhone[[#This Row],[Einkaufspreis]]</f>
        <v>-1</v>
      </c>
    </row>
    <row r="21" spans="2:18" x14ac:dyDescent="0.35">
      <c r="B21" s="5">
        <v>1</v>
      </c>
      <c r="C21" s="5">
        <v>2</v>
      </c>
      <c r="D21" s="5">
        <v>2026</v>
      </c>
      <c r="E21" s="12">
        <f>DATE(MobilePhone[[#This Row],[YYYY]],MobilePhone[[#This Row],[MM]],MobilePhone[[#This Row],[DD]])</f>
        <v>46054</v>
      </c>
      <c r="F21" s="12">
        <v>46114</v>
      </c>
      <c r="G21" s="6" t="s">
        <v>64</v>
      </c>
      <c r="H21" s="6" t="s">
        <v>9</v>
      </c>
      <c r="I21" s="6" t="s">
        <v>40</v>
      </c>
      <c r="J21" s="11" t="str">
        <f>HYPERLINK("https://www.dhl.de/de/privatkunden/dhl-sendungsverfolgung.html?piececode=00340434391952104206", "Verfolgung")</f>
        <v>Verfolgung</v>
      </c>
      <c r="K21" s="3">
        <v>313</v>
      </c>
      <c r="L21" s="2">
        <v>325</v>
      </c>
      <c r="M21" s="2">
        <f t="shared" si="5"/>
        <v>12</v>
      </c>
      <c r="N21" s="2">
        <f>SUM($M$5:M21)</f>
        <v>178.76</v>
      </c>
      <c r="O21" s="9">
        <f>MobilePhone[[#This Row],[Gewinn]]/MobilePhone[[#This Row],[Einkaufspreis]]</f>
        <v>3.8338658146964855E-2</v>
      </c>
    </row>
    <row r="22" spans="2:18" x14ac:dyDescent="0.35">
      <c r="B22" s="5">
        <v>1</v>
      </c>
      <c r="C22" s="5">
        <v>2</v>
      </c>
      <c r="D22" s="5">
        <v>2026</v>
      </c>
      <c r="E22" s="12">
        <f>DATE(MobilePhone[[#This Row],[YYYY]],MobilePhone[[#This Row],[MM]],MobilePhone[[#This Row],[DD]])</f>
        <v>46054</v>
      </c>
      <c r="F22" s="12"/>
      <c r="G22" s="6" t="s">
        <v>35</v>
      </c>
      <c r="H22" s="6" t="s">
        <v>9</v>
      </c>
      <c r="I22" s="6" t="s">
        <v>41</v>
      </c>
      <c r="J22" s="11" t="str">
        <f>HYPERLINK("https://www.dhl.de/de/privatkunden/dhl-sendungsverfolgung.html?piececode=00340434391942512165", "Verfolgung")</f>
        <v>Verfolgung</v>
      </c>
      <c r="K22" s="3">
        <v>226</v>
      </c>
      <c r="L22" s="2"/>
      <c r="M22" s="2">
        <f t="shared" si="5"/>
        <v>-226</v>
      </c>
      <c r="N22" s="2">
        <f>SUM($M$5:M22)</f>
        <v>-47.240000000000009</v>
      </c>
      <c r="O22" s="9">
        <f>MobilePhone[[#This Row],[Gewinn]]/MobilePhone[[#This Row],[Einkaufspreis]]</f>
        <v>-1</v>
      </c>
    </row>
    <row r="23" spans="2:18" x14ac:dyDescent="0.35">
      <c r="B23" s="5">
        <v>2</v>
      </c>
      <c r="C23" s="5">
        <v>2</v>
      </c>
      <c r="D23" s="5">
        <v>2026</v>
      </c>
      <c r="E23" s="12">
        <f>DATE(MobilePhone[[#This Row],[YYYY]],MobilePhone[[#This Row],[MM]],MobilePhone[[#This Row],[DD]])</f>
        <v>46055</v>
      </c>
      <c r="F23" s="12" t="s">
        <v>91</v>
      </c>
      <c r="G23" s="6" t="s">
        <v>64</v>
      </c>
      <c r="H23" s="6" t="s">
        <v>9</v>
      </c>
      <c r="I23" s="6" t="s">
        <v>40</v>
      </c>
      <c r="J23" s="11" t="str">
        <f>HYPERLINK("https://www.dhl.de/de/privatkunden/dhl-sendungsverfolgung.html?piececode=00340434391936490578", "Verfolgung")</f>
        <v>Verfolgung</v>
      </c>
      <c r="K23" s="3">
        <v>236.2</v>
      </c>
      <c r="L23" s="2">
        <v>345</v>
      </c>
      <c r="M23" s="2">
        <f t="shared" ref="M23:M30" si="6">L23-K23</f>
        <v>108.80000000000001</v>
      </c>
      <c r="N23" s="2">
        <f>SUM($M$5:M23)</f>
        <v>61.56</v>
      </c>
      <c r="O23" s="9">
        <f>MobilePhone[[#This Row],[Gewinn]]/MobilePhone[[#This Row],[Einkaufspreis]]</f>
        <v>0.46062658763759534</v>
      </c>
    </row>
    <row r="24" spans="2:18" x14ac:dyDescent="0.35">
      <c r="B24" s="5">
        <v>2</v>
      </c>
      <c r="C24" s="5">
        <v>2</v>
      </c>
      <c r="D24" s="5">
        <v>2026</v>
      </c>
      <c r="E24" s="12">
        <f>DATE(MobilePhone[[#This Row],[YYYY]],MobilePhone[[#This Row],[MM]],MobilePhone[[#This Row],[DD]])</f>
        <v>46055</v>
      </c>
      <c r="F24" s="12">
        <v>46297</v>
      </c>
      <c r="G24" s="6" t="s">
        <v>56</v>
      </c>
      <c r="H24" s="6" t="s">
        <v>9</v>
      </c>
      <c r="I24" s="6" t="s">
        <v>43</v>
      </c>
      <c r="J24" s="11" t="str">
        <f>HYPERLINK("https://www.dhl.de/de/privatkunden/dhl-sendungsverfolgung.html?piececode=358547316175", "Verfolgung")</f>
        <v>Verfolgung</v>
      </c>
      <c r="K24" s="3">
        <v>291.88</v>
      </c>
      <c r="L24" s="2">
        <v>350.77</v>
      </c>
      <c r="M24" s="2">
        <f t="shared" si="6"/>
        <v>58.889999999999986</v>
      </c>
      <c r="N24" s="2">
        <f>SUM($M$5:M24)</f>
        <v>120.44999999999999</v>
      </c>
      <c r="O24" s="9">
        <f>MobilePhone[[#This Row],[Gewinn]]/MobilePhone[[#This Row],[Einkaufspreis]]</f>
        <v>0.20176099767027542</v>
      </c>
      <c r="R24" s="5"/>
    </row>
    <row r="25" spans="2:18" x14ac:dyDescent="0.35">
      <c r="B25" s="5">
        <v>3</v>
      </c>
      <c r="C25" s="5">
        <v>2</v>
      </c>
      <c r="D25" s="5">
        <v>2026</v>
      </c>
      <c r="E25" s="12">
        <f>DATE(MobilePhone[[#This Row],[YYYY]],MobilePhone[[#This Row],[MM]],MobilePhone[[#This Row],[DD]])</f>
        <v>46056</v>
      </c>
      <c r="F25" s="12" t="s">
        <v>89</v>
      </c>
      <c r="G25" s="6" t="s">
        <v>87</v>
      </c>
      <c r="H25" s="6" t="s">
        <v>9</v>
      </c>
      <c r="I25" s="6" t="s">
        <v>46</v>
      </c>
      <c r="J25" s="11" t="str">
        <f>HYPERLINK("https://www.dhl.de/de/privatkunden/dhl-sendungsverfolgung.html?piececode=358548170455", "Verfolgung")</f>
        <v>Verfolgung</v>
      </c>
      <c r="K25" s="3">
        <v>359</v>
      </c>
      <c r="L25" s="2">
        <v>390</v>
      </c>
      <c r="M25" s="2">
        <f t="shared" si="6"/>
        <v>31</v>
      </c>
      <c r="N25" s="2">
        <f>SUM($M$5:M25)</f>
        <v>151.44999999999999</v>
      </c>
      <c r="O25" s="9">
        <f>MobilePhone[[#This Row],[Gewinn]]/MobilePhone[[#This Row],[Einkaufspreis]]</f>
        <v>8.6350974930362118E-2</v>
      </c>
      <c r="R25" s="5"/>
    </row>
    <row r="26" spans="2:18" x14ac:dyDescent="0.35">
      <c r="B26" s="5">
        <v>4</v>
      </c>
      <c r="C26" s="5">
        <v>2</v>
      </c>
      <c r="D26" s="5">
        <v>2026</v>
      </c>
      <c r="E26" s="12">
        <f>DATE(MobilePhone[[#This Row],[YYYY]],MobilePhone[[#This Row],[MM]],MobilePhone[[#This Row],[DD]])</f>
        <v>46057</v>
      </c>
      <c r="F26" s="12">
        <v>46236</v>
      </c>
      <c r="G26" s="6" t="s">
        <v>76</v>
      </c>
      <c r="H26" s="6" t="s">
        <v>10</v>
      </c>
      <c r="I26" s="6" t="s">
        <v>40</v>
      </c>
      <c r="J26" s="11" t="str">
        <f>HYPERLINK("https://www.dhl.de/de/privatkunden/dhl-sendungsverfolgung.html?piececode=358548192819", "Verfolgung")</f>
        <v>Verfolgung</v>
      </c>
      <c r="K26" s="3">
        <v>628.47</v>
      </c>
      <c r="L26" s="2">
        <v>799</v>
      </c>
      <c r="M26" s="2">
        <f t="shared" si="6"/>
        <v>170.52999999999997</v>
      </c>
      <c r="N26" s="2">
        <f>SUM($M$5:M26)</f>
        <v>321.97999999999996</v>
      </c>
      <c r="O26" s="9">
        <f>MobilePhone[[#This Row],[Gewinn]]/MobilePhone[[#This Row],[Einkaufspreis]]</f>
        <v>0.27134151192578798</v>
      </c>
      <c r="R26" s="5"/>
    </row>
    <row r="27" spans="2:18" x14ac:dyDescent="0.35">
      <c r="B27" s="5">
        <v>4</v>
      </c>
      <c r="C27" s="5">
        <v>2</v>
      </c>
      <c r="D27" s="5">
        <v>2026</v>
      </c>
      <c r="E27" s="12">
        <f>DATE(MobilePhone[[#This Row],[YYYY]],MobilePhone[[#This Row],[MM]],MobilePhone[[#This Row],[DD]])</f>
        <v>46057</v>
      </c>
      <c r="F27" s="12"/>
      <c r="G27" s="6" t="s">
        <v>50</v>
      </c>
      <c r="H27" s="6" t="s">
        <v>9</v>
      </c>
      <c r="I27" s="6" t="s">
        <v>49</v>
      </c>
      <c r="J27" s="11" t="str">
        <f>HYPERLINK("https://www.dhl.de/de/privatkunden/dhl-sendungsverfolgung.html?piececode=358548151386", "Verfolgung")</f>
        <v>Verfolgung</v>
      </c>
      <c r="K27" s="3">
        <v>89.5</v>
      </c>
      <c r="L27" s="2"/>
      <c r="M27" s="2">
        <f t="shared" si="6"/>
        <v>-89.5</v>
      </c>
      <c r="N27" s="2">
        <f>SUM($M$5:M27)</f>
        <v>232.47999999999996</v>
      </c>
      <c r="O27" s="9">
        <f>MobilePhone[[#This Row],[Gewinn]]/MobilePhone[[#This Row],[Einkaufspreis]]</f>
        <v>-1</v>
      </c>
      <c r="R27" s="5"/>
    </row>
    <row r="28" spans="2:18" x14ac:dyDescent="0.35">
      <c r="B28" s="5">
        <v>5</v>
      </c>
      <c r="C28" s="5">
        <v>2</v>
      </c>
      <c r="D28" s="5">
        <v>2026</v>
      </c>
      <c r="E28" s="12">
        <f>DATE(MobilePhone[[#This Row],[YYYY]],MobilePhone[[#This Row],[MM]],MobilePhone[[#This Row],[DD]])</f>
        <v>46058</v>
      </c>
      <c r="F28" s="12"/>
      <c r="G28" s="6" t="s">
        <v>35</v>
      </c>
      <c r="H28" s="6" t="s">
        <v>9</v>
      </c>
      <c r="I28" s="6" t="s">
        <v>40</v>
      </c>
      <c r="J28" s="11" t="str">
        <f>HYPERLINK("https://www.dhl.de/de/privatkunden/dhl-sendungsverfolgung.html?piececode=358548645991", "Verfolgung")</f>
        <v>Verfolgung</v>
      </c>
      <c r="K28" s="3">
        <v>218.83</v>
      </c>
      <c r="L28" s="2"/>
      <c r="M28" s="2">
        <f t="shared" si="6"/>
        <v>-218.83</v>
      </c>
      <c r="N28" s="2">
        <f>SUM($M$5:M28)</f>
        <v>13.649999999999949</v>
      </c>
      <c r="O28" s="9">
        <f>MobilePhone[[#This Row],[Gewinn]]/MobilePhone[[#This Row],[Einkaufspreis]]</f>
        <v>-1</v>
      </c>
    </row>
    <row r="29" spans="2:18" x14ac:dyDescent="0.35">
      <c r="B29" s="5">
        <v>6</v>
      </c>
      <c r="C29" s="5">
        <v>2</v>
      </c>
      <c r="D29" s="5">
        <v>2026</v>
      </c>
      <c r="E29" s="12">
        <f>DATE(MobilePhone[[#This Row],[YYYY]],MobilePhone[[#This Row],[MM]],MobilePhone[[#This Row],[DD]])</f>
        <v>46059</v>
      </c>
      <c r="F29" s="12"/>
      <c r="G29" s="6" t="s">
        <v>59</v>
      </c>
      <c r="H29" s="6"/>
      <c r="I29" s="6" t="s">
        <v>42</v>
      </c>
      <c r="J29" s="11" t="str">
        <f>HYPERLINK("https://www.dhl.de/de/privatkunden/dhl-sendungsverfolgung.html?piececode=358548744698", "Verfolgung")</f>
        <v>Verfolgung</v>
      </c>
      <c r="K29" s="3">
        <v>204.98</v>
      </c>
      <c r="L29" s="2"/>
      <c r="M29" s="2">
        <f t="shared" si="6"/>
        <v>-204.98</v>
      </c>
      <c r="N29" s="2">
        <f>SUM($M$5:M29)</f>
        <v>-191.33000000000004</v>
      </c>
      <c r="O29" s="9">
        <f>MobilePhone[[#This Row],[Gewinn]]/MobilePhone[[#This Row],[Einkaufspreis]]</f>
        <v>-1</v>
      </c>
    </row>
    <row r="30" spans="2:18" x14ac:dyDescent="0.35">
      <c r="B30" s="5">
        <v>6</v>
      </c>
      <c r="C30" s="5">
        <v>2</v>
      </c>
      <c r="D30" s="5">
        <v>2026</v>
      </c>
      <c r="E30" s="12">
        <f>DATE(MobilePhone[[#This Row],[YYYY]],MobilePhone[[#This Row],[MM]],MobilePhone[[#This Row],[DD]])</f>
        <v>46059</v>
      </c>
      <c r="F30" s="12"/>
      <c r="G30" s="6" t="s">
        <v>38</v>
      </c>
      <c r="H30" s="6" t="s">
        <v>10</v>
      </c>
      <c r="I30" s="6" t="s">
        <v>40</v>
      </c>
      <c r="J30" s="11" t="str">
        <f>HYPERLINK("https://www.dhl.de/de/privatkunden/dhl-sendungsverfolgung.html?piececode=00340434391947611368", "Verfolgung")</f>
        <v>Verfolgung</v>
      </c>
      <c r="K30" s="3">
        <v>154.19</v>
      </c>
      <c r="L30" s="2"/>
      <c r="M30" s="2">
        <f t="shared" si="6"/>
        <v>-154.19</v>
      </c>
      <c r="N30" s="2">
        <f>SUM($M$5:M30)</f>
        <v>-345.52000000000004</v>
      </c>
      <c r="O30" s="9">
        <f>MobilePhone[[#This Row],[Gewinn]]/MobilePhone[[#This Row],[Einkaufspreis]]</f>
        <v>-1</v>
      </c>
    </row>
    <row r="31" spans="2:18" x14ac:dyDescent="0.35">
      <c r="B31" s="5">
        <v>16</v>
      </c>
      <c r="C31" s="5">
        <v>2</v>
      </c>
      <c r="D31" s="5">
        <v>2026</v>
      </c>
      <c r="E31" s="12">
        <f>DATE(MobilePhone[[#This Row],[YYYY]],MobilePhone[[#This Row],[MM]],MobilePhone[[#This Row],[DD]])</f>
        <v>46069</v>
      </c>
      <c r="F31" s="12"/>
      <c r="G31" s="6" t="s">
        <v>88</v>
      </c>
      <c r="H31" s="6" t="s">
        <v>9</v>
      </c>
      <c r="I31" s="6" t="s">
        <v>43</v>
      </c>
      <c r="J31" s="11" t="str">
        <f>HYPERLINK("https://www.dhl.de/de/privatkunden/dhl-sendungsverfolgung.html?piececode=358949805950", "Verfolgung")</f>
        <v>Verfolgung</v>
      </c>
      <c r="K31" s="3">
        <v>77.27</v>
      </c>
      <c r="L31" s="2"/>
      <c r="M31" s="2">
        <f t="shared" ref="M31:M38" si="7">L31-K31</f>
        <v>-77.27</v>
      </c>
      <c r="N31" s="2">
        <f>SUM($M$5:M31)</f>
        <v>-422.79</v>
      </c>
      <c r="O31" s="9">
        <f>MobilePhone[[#This Row],[Gewinn]]/MobilePhone[[#This Row],[Einkaufspreis]]</f>
        <v>-1</v>
      </c>
    </row>
    <row r="32" spans="2:18" x14ac:dyDescent="0.35">
      <c r="B32" s="5">
        <v>19</v>
      </c>
      <c r="C32" s="5">
        <v>2</v>
      </c>
      <c r="D32" s="5">
        <v>2026</v>
      </c>
      <c r="E32" s="12">
        <f>DATE(MobilePhone[[#This Row],[YYYY]],MobilePhone[[#This Row],[MM]],MobilePhone[[#This Row],[DD]])</f>
        <v>46072</v>
      </c>
      <c r="F32" s="12"/>
      <c r="G32" s="6" t="s">
        <v>56</v>
      </c>
      <c r="H32" s="6" t="s">
        <v>9</v>
      </c>
      <c r="I32" s="6" t="s">
        <v>43</v>
      </c>
      <c r="J32" s="11"/>
      <c r="K32" s="3">
        <v>287.5</v>
      </c>
      <c r="L32" s="2"/>
      <c r="M32" s="2">
        <f t="shared" si="7"/>
        <v>-287.5</v>
      </c>
      <c r="N32" s="2">
        <f>SUM($M$5:M32)</f>
        <v>-710.29</v>
      </c>
      <c r="O32" s="9">
        <f>MobilePhone[[#This Row],[Gewinn]]/MobilePhone[[#This Row],[Einkaufspreis]]</f>
        <v>-1</v>
      </c>
    </row>
    <row r="33" spans="2:15" x14ac:dyDescent="0.35">
      <c r="B33" s="5">
        <v>19</v>
      </c>
      <c r="C33" s="5">
        <v>2</v>
      </c>
      <c r="D33" s="5">
        <v>2026</v>
      </c>
      <c r="E33" s="12">
        <f>DATE(MobilePhone[[#This Row],[YYYY]],MobilePhone[[#This Row],[MM]],MobilePhone[[#This Row],[DD]])</f>
        <v>46072</v>
      </c>
      <c r="F33" s="12"/>
      <c r="G33" s="6" t="s">
        <v>90</v>
      </c>
      <c r="H33" s="6"/>
      <c r="I33" s="6" t="s">
        <v>40</v>
      </c>
      <c r="J33" s="11"/>
      <c r="K33" s="3">
        <v>308.02</v>
      </c>
      <c r="L33" s="2"/>
      <c r="M33" s="2">
        <f t="shared" si="7"/>
        <v>-308.02</v>
      </c>
      <c r="N33" s="2">
        <f>SUM($M$5:M33)</f>
        <v>-1018.31</v>
      </c>
      <c r="O33" s="9">
        <f>MobilePhone[[#This Row],[Gewinn]]/MobilePhone[[#This Row],[Einkaufspreis]]</f>
        <v>-1</v>
      </c>
    </row>
    <row r="34" spans="2:15" x14ac:dyDescent="0.35">
      <c r="B34" s="5">
        <v>19</v>
      </c>
      <c r="C34" s="5">
        <v>2</v>
      </c>
      <c r="D34" s="5">
        <v>2026</v>
      </c>
      <c r="E34" s="12">
        <f>DATE(MobilePhone[[#This Row],[YYYY]],MobilePhone[[#This Row],[MM]],MobilePhone[[#This Row],[DD]])</f>
        <v>46072</v>
      </c>
      <c r="F34" s="12"/>
      <c r="G34" s="6" t="s">
        <v>37</v>
      </c>
      <c r="H34" s="6" t="s">
        <v>9</v>
      </c>
      <c r="I34" s="6" t="s">
        <v>40</v>
      </c>
      <c r="J34" s="11" t="str">
        <f>HYPERLINK("https://www.dhl.de/de/privatkunden/dhl-sendungsverfolgung.html?piececode=358003379261", "Verfolgung")</f>
        <v>Verfolgung</v>
      </c>
      <c r="K34" s="3">
        <v>102.5</v>
      </c>
      <c r="L34" s="2"/>
      <c r="M34" s="2">
        <f t="shared" si="7"/>
        <v>-102.5</v>
      </c>
      <c r="N34" s="2">
        <f>SUM($M$5:M34)</f>
        <v>-1120.81</v>
      </c>
      <c r="O34" s="9">
        <f>MobilePhone[[#This Row],[Gewinn]]/MobilePhone[[#This Row],[Einkaufspreis]]</f>
        <v>-1</v>
      </c>
    </row>
    <row r="35" spans="2:15" x14ac:dyDescent="0.35">
      <c r="B35" s="5">
        <v>19</v>
      </c>
      <c r="C35" s="5">
        <v>2</v>
      </c>
      <c r="D35" s="5">
        <v>2026</v>
      </c>
      <c r="E35" s="12">
        <f>DATE(MobilePhone[[#This Row],[YYYY]],MobilePhone[[#This Row],[MM]],MobilePhone[[#This Row],[DD]])</f>
        <v>46072</v>
      </c>
      <c r="F35" s="12"/>
      <c r="G35" s="6" t="s">
        <v>88</v>
      </c>
      <c r="H35" s="6" t="s">
        <v>9</v>
      </c>
      <c r="I35" s="6" t="s">
        <v>43</v>
      </c>
      <c r="J35" s="11" t="str">
        <f>HYPERLINK("https://www.dhl.de/de/privatkunden/dhl-sendungsverfolgung.html?piececode=358003379261", "Verfolgung")</f>
        <v>Verfolgung</v>
      </c>
      <c r="K35" s="3">
        <v>82.5</v>
      </c>
      <c r="L35" s="2"/>
      <c r="M35" s="2">
        <f t="shared" si="7"/>
        <v>-82.5</v>
      </c>
      <c r="N35" s="2">
        <f>SUM($M$5:M35)</f>
        <v>-1203.31</v>
      </c>
      <c r="O35" s="9">
        <f>MobilePhone[[#This Row],[Gewinn]]/MobilePhone[[#This Row],[Einkaufspreis]]</f>
        <v>-1</v>
      </c>
    </row>
    <row r="36" spans="2:15" x14ac:dyDescent="0.35">
      <c r="B36" s="5">
        <v>19</v>
      </c>
      <c r="C36" s="5">
        <v>2</v>
      </c>
      <c r="D36" s="5">
        <v>2026</v>
      </c>
      <c r="E36" s="12">
        <f>DATE(MobilePhone[[#This Row],[YYYY]],MobilePhone[[#This Row],[MM]],MobilePhone[[#This Row],[DD]])</f>
        <v>46072</v>
      </c>
      <c r="F36" s="12"/>
      <c r="G36" s="6" t="s">
        <v>74</v>
      </c>
      <c r="H36" s="6" t="s">
        <v>9</v>
      </c>
      <c r="I36" s="6"/>
      <c r="J36" s="11"/>
      <c r="K36" s="3">
        <v>205.47</v>
      </c>
      <c r="L36" s="2"/>
      <c r="M36" s="2">
        <f t="shared" si="7"/>
        <v>-205.47</v>
      </c>
      <c r="N36" s="2">
        <f>SUM($M$5:M36)</f>
        <v>-1408.78</v>
      </c>
      <c r="O36" s="9">
        <f>MobilePhone[[#This Row],[Gewinn]]/MobilePhone[[#This Row],[Einkaufspreis]]</f>
        <v>-1</v>
      </c>
    </row>
    <row r="37" spans="2:15" x14ac:dyDescent="0.35">
      <c r="B37" s="5">
        <v>20</v>
      </c>
      <c r="C37" s="5">
        <v>2</v>
      </c>
      <c r="D37" s="5">
        <v>2026</v>
      </c>
      <c r="E37" s="12">
        <f>DATE(MobilePhone[[#This Row],[YYYY]],MobilePhone[[#This Row],[MM]],MobilePhone[[#This Row],[DD]])</f>
        <v>46073</v>
      </c>
      <c r="F37" s="12"/>
      <c r="G37" s="6" t="s">
        <v>64</v>
      </c>
      <c r="H37" s="6" t="s">
        <v>9</v>
      </c>
      <c r="I37" s="6" t="s">
        <v>40</v>
      </c>
      <c r="J37" s="11"/>
      <c r="K37" s="3">
        <v>267</v>
      </c>
      <c r="L37" s="2"/>
      <c r="M37" s="2">
        <f t="shared" si="7"/>
        <v>-267</v>
      </c>
      <c r="N37" s="2">
        <f>SUM($M$5:M37)</f>
        <v>-1675.78</v>
      </c>
      <c r="O37" s="9">
        <f>MobilePhone[[#This Row],[Gewinn]]/MobilePhone[[#This Row],[Einkaufspreis]]</f>
        <v>-1</v>
      </c>
    </row>
    <row r="38" spans="2:15" x14ac:dyDescent="0.35">
      <c r="B38" s="16">
        <v>20</v>
      </c>
      <c r="C38" s="16">
        <v>2</v>
      </c>
      <c r="D38" s="16">
        <v>2026</v>
      </c>
      <c r="E38" s="12">
        <f>DATE(MobilePhone[[#This Row],[YYYY]],MobilePhone[[#This Row],[MM]],MobilePhone[[#This Row],[DD]])</f>
        <v>46073</v>
      </c>
      <c r="F38" s="12"/>
      <c r="G38" s="6" t="s">
        <v>56</v>
      </c>
      <c r="H38" s="6" t="s">
        <v>9</v>
      </c>
      <c r="I38" s="6" t="s">
        <v>46</v>
      </c>
      <c r="J38" s="11"/>
      <c r="K38" s="3">
        <v>287.5</v>
      </c>
      <c r="L38" s="2"/>
      <c r="M38" s="2">
        <f t="shared" si="7"/>
        <v>-287.5</v>
      </c>
      <c r="N38" s="2">
        <f>SUM($M$5:M48)</f>
        <v>-1963.28</v>
      </c>
      <c r="O38" s="9">
        <f>MobilePhone[[#This Row],[Gewinn]]/MobilePhone[[#This Row],[Einkaufspreis]]</f>
        <v>-1</v>
      </c>
    </row>
    <row r="39" spans="2:15" x14ac:dyDescent="0.35">
      <c r="B39" s="16"/>
      <c r="C39" s="16"/>
      <c r="D39" s="16"/>
      <c r="E39" s="12" t="e">
        <f>DATE(MobilePhone[[#This Row],[YYYY]],MobilePhone[[#This Row],[MM]],MobilePhone[[#This Row],[DD]])</f>
        <v>#NUM!</v>
      </c>
      <c r="F39" s="12"/>
      <c r="G39" s="6"/>
      <c r="H39" s="6"/>
      <c r="I39" s="6"/>
      <c r="J39" s="11"/>
      <c r="K39" s="3"/>
      <c r="L39" s="2"/>
      <c r="M39" s="2">
        <f t="shared" ref="M39:M48" si="8">L39-K39</f>
        <v>0</v>
      </c>
      <c r="N39" s="2">
        <f>SUM($M$5:M39)</f>
        <v>-1963.28</v>
      </c>
      <c r="O39" s="9" t="e">
        <f>MobilePhone[[#This Row],[Gewinn]]/MobilePhone[[#This Row],[Einkaufspreis]]</f>
        <v>#DIV/0!</v>
      </c>
    </row>
    <row r="40" spans="2:15" x14ac:dyDescent="0.35">
      <c r="B40" s="16"/>
      <c r="C40" s="16"/>
      <c r="D40" s="16"/>
      <c r="E40" s="12" t="e">
        <f>DATE(MobilePhone[[#This Row],[YYYY]],MobilePhone[[#This Row],[MM]],MobilePhone[[#This Row],[DD]])</f>
        <v>#NUM!</v>
      </c>
      <c r="F40" s="12"/>
      <c r="G40" s="6"/>
      <c r="H40" s="6"/>
      <c r="I40" s="6"/>
      <c r="J40" s="11"/>
      <c r="K40" s="3"/>
      <c r="L40" s="2"/>
      <c r="M40" s="2">
        <f t="shared" si="8"/>
        <v>0</v>
      </c>
      <c r="N40" s="2">
        <f>SUM($M$5:M40)</f>
        <v>-1963.28</v>
      </c>
      <c r="O40" s="9" t="e">
        <f>MobilePhone[[#This Row],[Gewinn]]/MobilePhone[[#This Row],[Einkaufspreis]]</f>
        <v>#DIV/0!</v>
      </c>
    </row>
    <row r="41" spans="2:15" x14ac:dyDescent="0.35">
      <c r="B41" s="16"/>
      <c r="C41" s="16"/>
      <c r="D41" s="16"/>
      <c r="E41" s="12" t="e">
        <f>DATE(MobilePhone[[#This Row],[YYYY]],MobilePhone[[#This Row],[MM]],MobilePhone[[#This Row],[DD]])</f>
        <v>#NUM!</v>
      </c>
      <c r="F41" s="12"/>
      <c r="G41" s="6"/>
      <c r="H41" s="6"/>
      <c r="I41" s="6"/>
      <c r="J41" s="11"/>
      <c r="K41" s="3"/>
      <c r="L41" s="2"/>
      <c r="M41" s="2">
        <f t="shared" si="8"/>
        <v>0</v>
      </c>
      <c r="N41" s="2">
        <f>SUM($M$5:M41)</f>
        <v>-1963.28</v>
      </c>
      <c r="O41" s="9" t="e">
        <f>MobilePhone[[#This Row],[Gewinn]]/MobilePhone[[#This Row],[Einkaufspreis]]</f>
        <v>#DIV/0!</v>
      </c>
    </row>
    <row r="42" spans="2:15" x14ac:dyDescent="0.35">
      <c r="B42" s="16"/>
      <c r="C42" s="16"/>
      <c r="D42" s="16"/>
      <c r="E42" s="12" t="e">
        <f>DATE(MobilePhone[[#This Row],[YYYY]],MobilePhone[[#This Row],[MM]],MobilePhone[[#This Row],[DD]])</f>
        <v>#NUM!</v>
      </c>
      <c r="F42" s="12"/>
      <c r="G42" s="6"/>
      <c r="H42" s="6"/>
      <c r="I42" s="6"/>
      <c r="J42" s="11"/>
      <c r="K42" s="3"/>
      <c r="L42" s="2"/>
      <c r="M42" s="2">
        <f t="shared" si="8"/>
        <v>0</v>
      </c>
      <c r="N42" s="2">
        <f>SUM($M$5:M42)</f>
        <v>-1963.28</v>
      </c>
      <c r="O42" s="9" t="e">
        <f>MobilePhone[[#This Row],[Gewinn]]/MobilePhone[[#This Row],[Einkaufspreis]]</f>
        <v>#DIV/0!</v>
      </c>
    </row>
    <row r="43" spans="2:15" x14ac:dyDescent="0.35">
      <c r="B43" s="16"/>
      <c r="C43" s="16"/>
      <c r="D43" s="16"/>
      <c r="E43" s="12" t="e">
        <f>DATE(MobilePhone[[#This Row],[YYYY]],MobilePhone[[#This Row],[MM]],MobilePhone[[#This Row],[DD]])</f>
        <v>#NUM!</v>
      </c>
      <c r="F43" s="12"/>
      <c r="G43" s="6"/>
      <c r="H43" s="6"/>
      <c r="I43" s="6"/>
      <c r="J43" s="11"/>
      <c r="K43" s="3"/>
      <c r="L43" s="2"/>
      <c r="M43" s="2">
        <f t="shared" si="8"/>
        <v>0</v>
      </c>
      <c r="N43" s="2">
        <f>SUM($M$5:M43)</f>
        <v>-1963.28</v>
      </c>
      <c r="O43" s="9" t="e">
        <f>MobilePhone[[#This Row],[Gewinn]]/MobilePhone[[#This Row],[Einkaufspreis]]</f>
        <v>#DIV/0!</v>
      </c>
    </row>
    <row r="44" spans="2:15" x14ac:dyDescent="0.35">
      <c r="B44" s="16"/>
      <c r="C44" s="16"/>
      <c r="D44" s="16"/>
      <c r="E44" s="12" t="e">
        <f>DATE(MobilePhone[[#This Row],[YYYY]],MobilePhone[[#This Row],[MM]],MobilePhone[[#This Row],[DD]])</f>
        <v>#NUM!</v>
      </c>
      <c r="F44" s="12"/>
      <c r="G44" s="6"/>
      <c r="H44" s="6"/>
      <c r="I44" s="6"/>
      <c r="J44" s="11"/>
      <c r="K44" s="3"/>
      <c r="L44" s="2"/>
      <c r="M44" s="2">
        <f t="shared" si="8"/>
        <v>0</v>
      </c>
      <c r="N44" s="2">
        <f>SUM($M$5:M44)</f>
        <v>-1963.28</v>
      </c>
      <c r="O44" s="9" t="e">
        <f>MobilePhone[[#This Row],[Gewinn]]/MobilePhone[[#This Row],[Einkaufspreis]]</f>
        <v>#DIV/0!</v>
      </c>
    </row>
    <row r="45" spans="2:15" x14ac:dyDescent="0.35">
      <c r="B45" s="16"/>
      <c r="C45" s="16"/>
      <c r="D45" s="16"/>
      <c r="E45" s="12" t="e">
        <f>DATE(MobilePhone[[#This Row],[YYYY]],MobilePhone[[#This Row],[MM]],MobilePhone[[#This Row],[DD]])</f>
        <v>#NUM!</v>
      </c>
      <c r="F45" s="12"/>
      <c r="G45" s="6"/>
      <c r="H45" s="6"/>
      <c r="I45" s="6"/>
      <c r="J45" s="11"/>
      <c r="K45" s="3"/>
      <c r="L45" s="2"/>
      <c r="M45" s="2">
        <f t="shared" si="8"/>
        <v>0</v>
      </c>
      <c r="N45" s="2">
        <f>SUM($M$5:M45)</f>
        <v>-1963.28</v>
      </c>
      <c r="O45" s="9" t="e">
        <f>MobilePhone[[#This Row],[Gewinn]]/MobilePhone[[#This Row],[Einkaufspreis]]</f>
        <v>#DIV/0!</v>
      </c>
    </row>
    <row r="46" spans="2:15" x14ac:dyDescent="0.35">
      <c r="B46" s="16"/>
      <c r="C46" s="16"/>
      <c r="D46" s="16"/>
      <c r="E46" s="12" t="e">
        <f>DATE(MobilePhone[[#This Row],[YYYY]],MobilePhone[[#This Row],[MM]],MobilePhone[[#This Row],[DD]])</f>
        <v>#NUM!</v>
      </c>
      <c r="F46" s="12"/>
      <c r="G46" s="6"/>
      <c r="H46" s="6"/>
      <c r="I46" s="6"/>
      <c r="J46" s="11"/>
      <c r="K46" s="3"/>
      <c r="L46" s="2"/>
      <c r="M46" s="2">
        <f t="shared" si="8"/>
        <v>0</v>
      </c>
      <c r="N46" s="2">
        <f>SUM($M$5:M46)</f>
        <v>-1963.28</v>
      </c>
      <c r="O46" s="9" t="e">
        <f>MobilePhone[[#This Row],[Gewinn]]/MobilePhone[[#This Row],[Einkaufspreis]]</f>
        <v>#DIV/0!</v>
      </c>
    </row>
    <row r="47" spans="2:15" x14ac:dyDescent="0.35">
      <c r="B47" s="16"/>
      <c r="C47" s="16"/>
      <c r="D47" s="16"/>
      <c r="E47" s="12" t="e">
        <f>DATE(MobilePhone[[#This Row],[YYYY]],MobilePhone[[#This Row],[MM]],MobilePhone[[#This Row],[DD]])</f>
        <v>#NUM!</v>
      </c>
      <c r="F47" s="12"/>
      <c r="G47" s="6"/>
      <c r="H47" s="6"/>
      <c r="I47" s="6"/>
      <c r="J47" s="11"/>
      <c r="K47" s="3"/>
      <c r="L47" s="2"/>
      <c r="M47" s="2">
        <f t="shared" si="8"/>
        <v>0</v>
      </c>
      <c r="N47" s="2">
        <f>SUM($M$5:M47)</f>
        <v>-1963.28</v>
      </c>
      <c r="O47" s="9" t="e">
        <f>MobilePhone[[#This Row],[Gewinn]]/MobilePhone[[#This Row],[Einkaufspreis]]</f>
        <v>#DIV/0!</v>
      </c>
    </row>
    <row r="48" spans="2:15" x14ac:dyDescent="0.35">
      <c r="B48" s="16"/>
      <c r="C48" s="16"/>
      <c r="D48" s="16"/>
      <c r="E48" s="12" t="e">
        <f>DATE(MobilePhone[[#This Row],[YYYY]],MobilePhone[[#This Row],[MM]],MobilePhone[[#This Row],[DD]])</f>
        <v>#NUM!</v>
      </c>
      <c r="F48" s="12"/>
      <c r="G48" s="6"/>
      <c r="H48" s="6"/>
      <c r="I48" s="6"/>
      <c r="J48" s="11"/>
      <c r="K48" s="3"/>
      <c r="L48" s="2"/>
      <c r="M48" s="2">
        <f t="shared" si="8"/>
        <v>0</v>
      </c>
      <c r="N48" s="2">
        <f>SUM($M$5:M48)</f>
        <v>-1963.28</v>
      </c>
      <c r="O48" s="9" t="e">
        <f>MobilePhone[[#This Row],[Gewinn]]/MobilePhone[[#This Row],[Einkaufspreis]]</f>
        <v>#DIV/0!</v>
      </c>
    </row>
    <row r="49" spans="5:15" x14ac:dyDescent="0.35">
      <c r="E49" s="5"/>
      <c r="F49" s="5"/>
      <c r="G49" s="5"/>
      <c r="H49" s="5"/>
      <c r="I49" s="5"/>
      <c r="J49" s="5"/>
      <c r="K49" s="2">
        <f>SUM(MobilePhone[Einkaufspreis])</f>
        <v>7493.0700000000006</v>
      </c>
      <c r="L49" s="2">
        <f>SUM(MobilePhone[Verkaufspreis])</f>
        <v>5529.7900000000009</v>
      </c>
      <c r="M49" s="2">
        <f>SUM(MobilePhone[Gewinn])</f>
        <v>-1963.28</v>
      </c>
      <c r="N49" s="2"/>
      <c r="O49" s="5"/>
    </row>
    <row r="50" spans="5:15" x14ac:dyDescent="0.35">
      <c r="E50" s="12"/>
      <c r="F50" s="12"/>
      <c r="G50" s="6"/>
      <c r="H50" s="6"/>
      <c r="I50" s="6"/>
      <c r="J50" s="11"/>
      <c r="K50" s="3"/>
      <c r="L50" s="2"/>
      <c r="M50" s="2"/>
      <c r="N50" s="2"/>
      <c r="O50" s="9"/>
    </row>
    <row r="51" spans="5:15" x14ac:dyDescent="0.35">
      <c r="E51" s="12"/>
      <c r="F51" s="12"/>
      <c r="G51" s="6"/>
      <c r="H51" s="6"/>
      <c r="I51" s="6"/>
      <c r="J51" s="10"/>
      <c r="K51" s="3"/>
      <c r="L51" s="2"/>
      <c r="M51" s="2"/>
      <c r="N51" s="2"/>
      <c r="O51" s="9"/>
    </row>
    <row r="52" spans="5:15" x14ac:dyDescent="0.35">
      <c r="E52" s="12"/>
      <c r="F52" s="12"/>
      <c r="G52" s="6"/>
      <c r="H52" s="6"/>
      <c r="I52" s="6"/>
      <c r="J52" s="10"/>
      <c r="K52" s="3"/>
      <c r="L52" s="2"/>
      <c r="M52" s="2"/>
      <c r="N52" s="2"/>
      <c r="O52" s="9"/>
    </row>
    <row r="53" spans="5:15" x14ac:dyDescent="0.35">
      <c r="E53" s="12"/>
      <c r="F53" s="12"/>
      <c r="G53" s="6"/>
      <c r="H53" s="6"/>
      <c r="I53" s="6"/>
      <c r="J53" s="11"/>
      <c r="K53" s="3"/>
      <c r="L53" s="2"/>
      <c r="M53" s="2"/>
      <c r="N53" s="2"/>
      <c r="O53" s="9"/>
    </row>
    <row r="54" spans="5:15" x14ac:dyDescent="0.35">
      <c r="E54" s="12"/>
      <c r="F54" s="12"/>
      <c r="G54" s="6"/>
      <c r="H54" s="6"/>
      <c r="I54" s="6"/>
      <c r="J54" s="10"/>
      <c r="K54" s="3"/>
      <c r="L54" s="2"/>
      <c r="M54" s="2"/>
      <c r="N54" s="2"/>
      <c r="O54" s="9"/>
    </row>
    <row r="55" spans="5:15" x14ac:dyDescent="0.35">
      <c r="E55" s="12"/>
      <c r="F55" s="12"/>
      <c r="G55" s="6"/>
      <c r="H55" s="6"/>
      <c r="I55" s="6"/>
      <c r="J55" s="11"/>
      <c r="K55" s="3"/>
      <c r="L55" s="2"/>
      <c r="M55" s="2"/>
      <c r="N55" s="2"/>
      <c r="O55" s="9"/>
    </row>
    <row r="56" spans="5:15" x14ac:dyDescent="0.35">
      <c r="E56" s="12"/>
      <c r="F56" s="12"/>
      <c r="G56" s="6"/>
      <c r="H56" s="6"/>
      <c r="I56" s="6"/>
      <c r="J56" s="11"/>
      <c r="K56" s="3"/>
      <c r="L56" s="2"/>
      <c r="M56" s="2"/>
      <c r="N56" s="2"/>
      <c r="O56" s="9"/>
    </row>
    <row r="57" spans="5:15" x14ac:dyDescent="0.35">
      <c r="E57" s="12"/>
      <c r="F57" s="12"/>
      <c r="G57" s="6"/>
      <c r="H57" s="6"/>
      <c r="I57" s="6"/>
      <c r="J57" s="11"/>
      <c r="K57" s="3"/>
      <c r="L57" s="2"/>
      <c r="M57" s="2"/>
      <c r="N57" s="2"/>
      <c r="O57" s="9"/>
    </row>
    <row r="58" spans="5:15" x14ac:dyDescent="0.35">
      <c r="E58" s="12"/>
      <c r="F58" s="12"/>
      <c r="G58" s="6"/>
      <c r="H58" s="6"/>
      <c r="I58" s="6"/>
      <c r="J58" s="11"/>
      <c r="K58" s="3"/>
      <c r="L58" s="2"/>
      <c r="M58" s="2"/>
      <c r="N58" s="2"/>
      <c r="O58" s="9"/>
    </row>
    <row r="59" spans="5:15" x14ac:dyDescent="0.35">
      <c r="E59" s="12"/>
      <c r="F59" s="12"/>
      <c r="G59" s="6"/>
      <c r="H59" s="6"/>
      <c r="I59" s="6"/>
      <c r="J59" s="11"/>
      <c r="K59" s="3"/>
      <c r="L59" s="2"/>
      <c r="M59" s="2"/>
      <c r="N59" s="2"/>
      <c r="O59" s="9"/>
    </row>
    <row r="60" spans="5:15" x14ac:dyDescent="0.35">
      <c r="E60" s="12"/>
      <c r="F60" s="12"/>
      <c r="G60" s="6"/>
      <c r="H60" s="6"/>
      <c r="I60" s="6"/>
      <c r="J60" s="11"/>
      <c r="K60" s="3"/>
      <c r="L60" s="2"/>
      <c r="M60" s="2"/>
      <c r="N60" s="2"/>
      <c r="O60" s="9"/>
    </row>
    <row r="61" spans="5:15" x14ac:dyDescent="0.35">
      <c r="E61" s="12"/>
      <c r="F61" s="12"/>
      <c r="G61" s="6"/>
      <c r="H61" s="6"/>
      <c r="I61" s="6"/>
      <c r="J61" s="11"/>
      <c r="K61" s="13"/>
      <c r="L61" s="2"/>
      <c r="M61" s="2"/>
      <c r="N61" s="2"/>
      <c r="O61" s="9"/>
    </row>
    <row r="62" spans="5:15" x14ac:dyDescent="0.35">
      <c r="E62" s="12"/>
      <c r="F62" s="12"/>
      <c r="G62" s="6"/>
      <c r="H62" s="6"/>
      <c r="I62" s="6"/>
      <c r="J62" s="11"/>
      <c r="K62" s="13"/>
      <c r="L62" s="2"/>
      <c r="M62" s="2"/>
      <c r="N62" s="2"/>
      <c r="O62" s="9"/>
    </row>
    <row r="63" spans="5:15" x14ac:dyDescent="0.35">
      <c r="E63" s="12"/>
      <c r="F63" s="12"/>
      <c r="G63" s="6"/>
      <c r="H63" s="6"/>
      <c r="I63" s="6"/>
      <c r="J63" s="11"/>
      <c r="K63" s="13"/>
      <c r="L63" s="2"/>
      <c r="M63" s="2"/>
      <c r="N63" s="2"/>
      <c r="O63" s="9"/>
    </row>
    <row r="64" spans="5:15" x14ac:dyDescent="0.35">
      <c r="E64" s="12"/>
      <c r="F64" s="12"/>
      <c r="G64" s="6"/>
      <c r="H64" s="6"/>
      <c r="I64" s="6"/>
      <c r="J64" s="11"/>
      <c r="K64" s="13"/>
      <c r="L64" s="2"/>
      <c r="M64" s="2"/>
      <c r="N64" s="2"/>
      <c r="O64" s="9"/>
    </row>
    <row r="65" spans="5:19" x14ac:dyDescent="0.35">
      <c r="E65" s="12"/>
      <c r="F65" s="12"/>
      <c r="G65" s="6"/>
      <c r="H65" s="6"/>
      <c r="I65" s="6"/>
      <c r="J65" s="11"/>
      <c r="K65" s="13"/>
      <c r="L65" s="2"/>
      <c r="M65" s="2"/>
      <c r="N65" s="2"/>
      <c r="O65" s="9"/>
    </row>
    <row r="66" spans="5:19" x14ac:dyDescent="0.35">
      <c r="E66" s="12"/>
      <c r="F66" s="12"/>
      <c r="G66" s="6"/>
      <c r="H66" s="6"/>
      <c r="I66" s="6"/>
      <c r="J66" s="11"/>
      <c r="K66" s="13"/>
      <c r="L66" s="2"/>
      <c r="M66" s="2"/>
      <c r="N66" s="2"/>
      <c r="O66" s="9"/>
    </row>
    <row r="67" spans="5:19" x14ac:dyDescent="0.35">
      <c r="E67" s="12"/>
      <c r="F67" s="12"/>
      <c r="G67" s="6"/>
      <c r="H67" s="6"/>
      <c r="I67" s="6"/>
      <c r="J67" s="11"/>
      <c r="K67" s="13"/>
      <c r="L67" s="2"/>
      <c r="M67" s="2"/>
      <c r="N67" s="2"/>
      <c r="O67" s="9"/>
    </row>
    <row r="68" spans="5:19" x14ac:dyDescent="0.35">
      <c r="E68" s="12"/>
      <c r="F68" s="12"/>
      <c r="G68" s="6"/>
      <c r="H68" s="6"/>
      <c r="I68" s="6"/>
      <c r="J68" s="11"/>
      <c r="K68" s="13"/>
      <c r="L68" s="2"/>
      <c r="M68" s="2"/>
      <c r="N68" s="2"/>
      <c r="O68" s="9"/>
    </row>
    <row r="69" spans="5:19" x14ac:dyDescent="0.35">
      <c r="E69" s="12"/>
      <c r="F69" s="12"/>
      <c r="G69" s="6"/>
      <c r="H69" s="6"/>
      <c r="I69" s="6"/>
      <c r="J69" s="11"/>
      <c r="K69" s="13"/>
      <c r="L69" s="2"/>
      <c r="M69" s="2"/>
      <c r="N69" s="2"/>
      <c r="O69" s="9"/>
    </row>
    <row r="70" spans="5:19" x14ac:dyDescent="0.35">
      <c r="E70" s="12"/>
      <c r="F70" s="12"/>
      <c r="G70" s="6"/>
      <c r="H70" s="6"/>
      <c r="I70" s="6"/>
      <c r="J70" s="11"/>
      <c r="K70" s="13"/>
      <c r="L70" s="2"/>
      <c r="M70" s="2"/>
      <c r="N70" s="2"/>
      <c r="O70" s="9"/>
    </row>
    <row r="71" spans="5:19" x14ac:dyDescent="0.35">
      <c r="E71" s="12"/>
      <c r="F71" s="12"/>
      <c r="G71" s="6"/>
      <c r="H71" s="6"/>
      <c r="I71" s="6"/>
      <c r="J71" s="11"/>
      <c r="K71" s="13"/>
      <c r="L71" s="2"/>
      <c r="M71" s="2"/>
      <c r="N71" s="2"/>
      <c r="O71" s="9"/>
      <c r="S71" s="14"/>
    </row>
    <row r="72" spans="5:19" x14ac:dyDescent="0.35">
      <c r="E72" s="12"/>
      <c r="F72" s="12"/>
      <c r="G72" s="6"/>
      <c r="H72" s="6"/>
      <c r="I72" s="6"/>
      <c r="J72" s="11"/>
      <c r="K72" s="13"/>
      <c r="L72" s="2"/>
      <c r="M72" s="2"/>
      <c r="N72" s="2"/>
      <c r="O72" s="9"/>
    </row>
    <row r="73" spans="5:19" x14ac:dyDescent="0.35">
      <c r="E73" s="12"/>
      <c r="F73" s="12"/>
      <c r="G73" s="6"/>
      <c r="H73" s="6"/>
      <c r="I73" s="6"/>
      <c r="J73" s="11"/>
      <c r="K73" s="13"/>
      <c r="L73" s="2"/>
      <c r="M73" s="2"/>
      <c r="N73" s="2"/>
      <c r="O73" s="9"/>
    </row>
    <row r="74" spans="5:19" x14ac:dyDescent="0.35">
      <c r="E74" s="12"/>
      <c r="F74" s="12"/>
      <c r="G74" s="6"/>
      <c r="H74" s="6"/>
      <c r="I74" s="6"/>
      <c r="J74" s="11"/>
      <c r="K74" s="13"/>
      <c r="L74" s="2"/>
      <c r="M74" s="2"/>
      <c r="N74" s="2"/>
      <c r="O74" s="9"/>
    </row>
    <row r="75" spans="5:19" x14ac:dyDescent="0.35">
      <c r="E75" s="12"/>
      <c r="F75" s="12"/>
      <c r="G75" s="6"/>
      <c r="H75" s="6"/>
      <c r="I75" s="6"/>
      <c r="J75" s="10"/>
      <c r="K75" s="13"/>
      <c r="L75" s="2"/>
      <c r="M75" s="2"/>
      <c r="N75" s="2"/>
      <c r="O75" s="9"/>
    </row>
    <row r="76" spans="5:19" x14ac:dyDescent="0.35">
      <c r="E76" s="12"/>
      <c r="F76" s="12"/>
      <c r="G76" s="6"/>
      <c r="H76" s="6"/>
      <c r="I76" s="6"/>
      <c r="J76" s="11"/>
      <c r="K76" s="13"/>
      <c r="L76" s="2"/>
      <c r="M76" s="2"/>
      <c r="N76" s="2"/>
      <c r="O76" s="9"/>
    </row>
    <row r="77" spans="5:19" x14ac:dyDescent="0.35">
      <c r="E77" s="12"/>
      <c r="F77" s="12"/>
      <c r="G77" s="6"/>
      <c r="H77" s="6"/>
      <c r="I77" s="6"/>
      <c r="J77" s="10"/>
      <c r="K77" s="13"/>
      <c r="L77" s="2"/>
      <c r="M77" s="2"/>
      <c r="N77" s="2"/>
      <c r="O77" s="9"/>
    </row>
    <row r="78" spans="5:19" x14ac:dyDescent="0.35">
      <c r="E78" s="12"/>
      <c r="F78" s="12"/>
      <c r="G78" s="6"/>
      <c r="H78" s="6"/>
      <c r="I78" s="6"/>
      <c r="J78" s="10"/>
      <c r="K78" s="13"/>
      <c r="L78" s="2"/>
      <c r="M78" s="2"/>
      <c r="N78" s="2"/>
      <c r="O78" s="9"/>
    </row>
    <row r="79" spans="5:19" x14ac:dyDescent="0.35">
      <c r="E79" s="12"/>
      <c r="F79" s="12"/>
      <c r="G79" s="6"/>
      <c r="H79" s="6"/>
      <c r="I79" s="6"/>
      <c r="J79" s="11"/>
      <c r="K79" s="13"/>
      <c r="L79" s="2"/>
      <c r="M79" s="2"/>
      <c r="N79" s="2"/>
      <c r="O79" s="9"/>
    </row>
    <row r="80" spans="5:19" x14ac:dyDescent="0.35">
      <c r="E80" s="12"/>
      <c r="F80" s="12"/>
      <c r="G80" s="6"/>
      <c r="H80" s="6"/>
      <c r="I80" s="6"/>
      <c r="J80" s="11"/>
      <c r="K80" s="13"/>
      <c r="L80" s="2"/>
      <c r="M80" s="2"/>
      <c r="N80" s="2"/>
      <c r="O80" s="9"/>
    </row>
    <row r="81" spans="5:15" x14ac:dyDescent="0.35">
      <c r="E81" s="12"/>
      <c r="F81" s="12"/>
      <c r="G81" s="6"/>
      <c r="H81" s="6"/>
      <c r="I81" s="6"/>
      <c r="J81" s="11"/>
      <c r="K81" s="13"/>
      <c r="L81" s="2"/>
      <c r="M81" s="2"/>
      <c r="N81" s="2"/>
      <c r="O81" s="9"/>
    </row>
    <row r="82" spans="5:15" x14ac:dyDescent="0.35">
      <c r="E82" s="12"/>
      <c r="F82" s="12"/>
      <c r="G82" s="6"/>
      <c r="H82" s="6"/>
      <c r="I82" s="6"/>
      <c r="J82" s="11"/>
      <c r="K82" s="13"/>
      <c r="L82" s="2"/>
      <c r="M82" s="2"/>
      <c r="N82" s="2"/>
      <c r="O82" s="9"/>
    </row>
    <row r="83" spans="5:15" x14ac:dyDescent="0.35">
      <c r="E83" s="12"/>
      <c r="F83" s="12"/>
      <c r="G83" s="6"/>
      <c r="H83" s="6"/>
      <c r="I83" s="6"/>
      <c r="J83" s="11"/>
      <c r="K83" s="13"/>
      <c r="L83" s="2"/>
      <c r="M83" s="2"/>
      <c r="N83" s="2"/>
      <c r="O83" s="9"/>
    </row>
    <row r="84" spans="5:15" x14ac:dyDescent="0.35">
      <c r="E84" s="12"/>
      <c r="F84" s="12"/>
      <c r="G84" s="6"/>
      <c r="H84" s="6"/>
      <c r="I84" s="6"/>
      <c r="J84" s="11"/>
      <c r="K84" s="13"/>
      <c r="L84" s="2"/>
      <c r="M84" s="2"/>
      <c r="N84" s="2"/>
      <c r="O84" s="9"/>
    </row>
    <row r="85" spans="5:15" x14ac:dyDescent="0.35">
      <c r="E85" s="12"/>
      <c r="F85" s="12"/>
      <c r="G85" s="6"/>
      <c r="H85" s="6"/>
      <c r="I85" s="6"/>
      <c r="J85" s="10"/>
      <c r="K85" s="13"/>
      <c r="L85" s="2"/>
      <c r="M85" s="2"/>
      <c r="N85" s="2"/>
      <c r="O85" s="9"/>
    </row>
    <row r="86" spans="5:15" x14ac:dyDescent="0.35">
      <c r="E86" s="12"/>
      <c r="F86" s="12"/>
      <c r="G86" s="6"/>
      <c r="H86" s="6"/>
      <c r="I86" s="6"/>
      <c r="J86" s="10"/>
      <c r="K86" s="13"/>
      <c r="L86" s="2"/>
      <c r="M86" s="2"/>
      <c r="N86" s="2"/>
      <c r="O86" s="9"/>
    </row>
    <row r="87" spans="5:15" x14ac:dyDescent="0.35">
      <c r="E87" s="12"/>
      <c r="F87" s="12"/>
      <c r="G87" s="6"/>
      <c r="H87" s="6"/>
      <c r="I87" s="6"/>
      <c r="J87" s="11"/>
      <c r="K87" s="13"/>
      <c r="L87" s="2"/>
      <c r="M87" s="2"/>
      <c r="N87" s="2"/>
      <c r="O87" s="9"/>
    </row>
    <row r="88" spans="5:15" x14ac:dyDescent="0.35">
      <c r="E88" s="12"/>
      <c r="F88" s="12"/>
      <c r="G88" s="6"/>
      <c r="H88" s="6"/>
      <c r="I88" s="6"/>
      <c r="J88" s="11"/>
      <c r="K88" s="13"/>
      <c r="L88" s="2"/>
      <c r="M88" s="2"/>
      <c r="N88" s="2"/>
      <c r="O88" s="9"/>
    </row>
    <row r="89" spans="5:15" x14ac:dyDescent="0.35">
      <c r="E89" s="12"/>
      <c r="F89" s="12"/>
      <c r="G89" s="6"/>
      <c r="H89" s="6"/>
      <c r="I89" s="6"/>
      <c r="J89" s="11"/>
      <c r="K89" s="13"/>
      <c r="L89" s="2"/>
      <c r="M89" s="2"/>
      <c r="N89" s="2"/>
      <c r="O89" s="9"/>
    </row>
    <row r="90" spans="5:15" x14ac:dyDescent="0.35">
      <c r="E90" s="12"/>
      <c r="F90" s="12"/>
      <c r="G90" s="6"/>
      <c r="H90" s="6"/>
      <c r="I90" s="6"/>
      <c r="J90" s="11"/>
      <c r="K90" s="13"/>
      <c r="L90" s="2"/>
      <c r="M90" s="2"/>
      <c r="N90" s="2"/>
      <c r="O90" s="9"/>
    </row>
    <row r="91" spans="5:15" x14ac:dyDescent="0.35">
      <c r="E91" s="12"/>
      <c r="F91" s="12"/>
      <c r="G91" s="6"/>
      <c r="H91" s="6"/>
      <c r="I91" s="6"/>
      <c r="J91" s="11"/>
      <c r="K91" s="13"/>
      <c r="L91" s="2"/>
      <c r="M91" s="2"/>
      <c r="N91" s="2"/>
      <c r="O91" s="9"/>
    </row>
    <row r="92" spans="5:15" x14ac:dyDescent="0.35">
      <c r="E92" s="12"/>
      <c r="F92" s="12"/>
      <c r="G92" s="6"/>
      <c r="H92" s="6"/>
      <c r="I92" s="6"/>
      <c r="J92" s="11"/>
      <c r="K92" s="13"/>
      <c r="L92" s="2"/>
      <c r="M92" s="2"/>
      <c r="N92" s="2"/>
      <c r="O92" s="9"/>
    </row>
    <row r="93" spans="5:15" x14ac:dyDescent="0.35">
      <c r="E93" s="12"/>
      <c r="F93" s="12"/>
      <c r="G93" s="6"/>
      <c r="H93" s="6"/>
      <c r="I93" s="6"/>
      <c r="J93" s="11"/>
      <c r="K93" s="13"/>
      <c r="L93" s="2"/>
      <c r="M93" s="2"/>
      <c r="N93" s="2"/>
      <c r="O93" s="9"/>
    </row>
    <row r="94" spans="5:15" x14ac:dyDescent="0.35">
      <c r="E94" s="12"/>
      <c r="F94" s="12"/>
      <c r="G94" s="6"/>
      <c r="H94" s="6"/>
      <c r="I94" s="6"/>
      <c r="J94" s="11"/>
      <c r="K94" s="13"/>
      <c r="L94" s="2"/>
      <c r="M94" s="2"/>
      <c r="N94" s="2"/>
      <c r="O94" s="9"/>
    </row>
    <row r="95" spans="5:15" x14ac:dyDescent="0.35">
      <c r="E95" s="12"/>
      <c r="F95" s="12"/>
      <c r="G95" s="6"/>
      <c r="H95" s="6"/>
      <c r="I95" s="6"/>
      <c r="J95" s="10"/>
      <c r="K95" s="13"/>
      <c r="L95" s="2"/>
      <c r="M95" s="2"/>
      <c r="N95" s="2"/>
      <c r="O95" s="9"/>
    </row>
    <row r="96" spans="5:15" x14ac:dyDescent="0.35">
      <c r="E96" s="12"/>
      <c r="F96" s="12"/>
      <c r="G96" s="6"/>
      <c r="H96" s="6"/>
      <c r="I96" s="6"/>
      <c r="J96" s="10"/>
      <c r="K96" s="13"/>
      <c r="L96" s="15"/>
      <c r="M96" s="2"/>
      <c r="N96" s="2"/>
      <c r="O96" s="9"/>
    </row>
    <row r="97" spans="5:15" x14ac:dyDescent="0.35">
      <c r="E97" s="12"/>
      <c r="F97" s="12"/>
      <c r="G97" s="6"/>
      <c r="H97" s="6"/>
      <c r="I97" s="6"/>
      <c r="J97" s="10"/>
      <c r="K97" s="13"/>
      <c r="L97" s="2"/>
      <c r="M97" s="2"/>
      <c r="N97" s="2"/>
      <c r="O97" s="9"/>
    </row>
    <row r="98" spans="5:15" x14ac:dyDescent="0.35">
      <c r="E98" s="12"/>
      <c r="F98" s="12"/>
      <c r="G98" s="6"/>
      <c r="H98" s="6"/>
      <c r="I98" s="6"/>
      <c r="J98" s="11"/>
      <c r="K98" s="13"/>
      <c r="L98" s="2"/>
      <c r="M98" s="2"/>
      <c r="N98" s="2"/>
      <c r="O98" s="9"/>
    </row>
    <row r="99" spans="5:15" x14ac:dyDescent="0.35">
      <c r="E99" s="12"/>
      <c r="F99" s="12"/>
      <c r="G99" s="6"/>
      <c r="H99" s="6"/>
      <c r="I99" s="6"/>
      <c r="J99" s="10"/>
      <c r="K99" s="13"/>
      <c r="L99" s="2"/>
      <c r="M99" s="2"/>
      <c r="N99" s="2"/>
      <c r="O99" s="9"/>
    </row>
    <row r="100" spans="5:15" x14ac:dyDescent="0.35">
      <c r="E100" s="12"/>
      <c r="F100" s="12"/>
      <c r="G100" s="6"/>
      <c r="H100" s="6"/>
      <c r="I100" s="6"/>
      <c r="J100" s="11"/>
      <c r="K100" s="13"/>
      <c r="L100" s="2"/>
      <c r="M100" s="2"/>
      <c r="N100" s="2"/>
      <c r="O100" s="9"/>
    </row>
    <row r="101" spans="5:15" x14ac:dyDescent="0.35">
      <c r="E101" s="12"/>
      <c r="F101" s="12"/>
      <c r="G101" s="6"/>
      <c r="H101" s="6"/>
      <c r="I101" s="6"/>
      <c r="J101" s="11"/>
      <c r="K101" s="13"/>
      <c r="L101" s="2"/>
      <c r="M101" s="2"/>
      <c r="N101" s="2"/>
      <c r="O101" s="9"/>
    </row>
    <row r="102" spans="5:15" x14ac:dyDescent="0.35">
      <c r="E102" s="12"/>
      <c r="F102" s="12"/>
      <c r="G102" s="6"/>
      <c r="H102" s="6"/>
      <c r="I102" s="6"/>
      <c r="J102" s="11"/>
      <c r="K102" s="13"/>
      <c r="L102" s="2"/>
      <c r="M102" s="2"/>
      <c r="N102" s="2"/>
      <c r="O102" s="9"/>
    </row>
    <row r="103" spans="5:15" x14ac:dyDescent="0.35">
      <c r="E103" s="12"/>
      <c r="F103" s="12"/>
      <c r="G103" s="6"/>
      <c r="H103" s="6"/>
      <c r="I103" s="6"/>
      <c r="J103" s="11"/>
      <c r="K103" s="13"/>
      <c r="L103" s="2"/>
      <c r="M103" s="2"/>
      <c r="N103" s="2"/>
      <c r="O103" s="9"/>
    </row>
    <row r="104" spans="5:15" x14ac:dyDescent="0.35">
      <c r="E104" s="12"/>
      <c r="F104" s="12"/>
      <c r="G104" s="6"/>
      <c r="H104" s="6"/>
      <c r="I104" s="6"/>
      <c r="J104" s="11"/>
      <c r="K104" s="13"/>
      <c r="L104" s="2"/>
      <c r="M104" s="2"/>
      <c r="N104" s="2"/>
      <c r="O104" s="9"/>
    </row>
    <row r="105" spans="5:15" x14ac:dyDescent="0.35">
      <c r="E105" s="12"/>
      <c r="F105" s="12"/>
      <c r="G105" s="6"/>
      <c r="H105" s="6"/>
      <c r="I105" s="6"/>
      <c r="J105" s="11"/>
      <c r="K105" s="13"/>
      <c r="L105" s="2"/>
      <c r="M105" s="2"/>
      <c r="N105" s="2"/>
      <c r="O105" s="9"/>
    </row>
    <row r="106" spans="5:15" x14ac:dyDescent="0.35">
      <c r="E106" s="12"/>
      <c r="F106" s="12"/>
      <c r="G106" s="6"/>
      <c r="H106" s="6"/>
      <c r="I106" s="6"/>
      <c r="J106" s="11"/>
      <c r="K106" s="13"/>
      <c r="L106" s="2"/>
      <c r="M106" s="2"/>
      <c r="N106" s="2"/>
      <c r="O106" s="9"/>
    </row>
    <row r="107" spans="5:15" x14ac:dyDescent="0.35">
      <c r="E107" s="12"/>
      <c r="F107" s="12"/>
      <c r="G107" s="6"/>
      <c r="H107" s="6"/>
      <c r="I107" s="6"/>
      <c r="J107" s="11"/>
      <c r="K107" s="13"/>
      <c r="L107" s="2"/>
      <c r="M107" s="2"/>
      <c r="N107" s="2"/>
      <c r="O107" s="9"/>
    </row>
    <row r="108" spans="5:15" x14ac:dyDescent="0.35">
      <c r="E108" s="12"/>
      <c r="F108" s="12"/>
      <c r="G108" s="6"/>
      <c r="H108" s="6"/>
      <c r="I108" s="6"/>
      <c r="J108" s="11"/>
      <c r="K108" s="13"/>
      <c r="L108" s="2"/>
      <c r="M108" s="2"/>
      <c r="N108" s="2"/>
      <c r="O108" s="9"/>
    </row>
    <row r="109" spans="5:15" x14ac:dyDescent="0.35">
      <c r="E109" s="12"/>
      <c r="F109" s="12"/>
      <c r="G109" s="6"/>
      <c r="H109" s="6"/>
      <c r="I109" s="6"/>
      <c r="J109" s="11"/>
      <c r="K109" s="13"/>
      <c r="L109" s="2"/>
      <c r="M109" s="2"/>
      <c r="N109" s="2"/>
      <c r="O109" s="9"/>
    </row>
    <row r="110" spans="5:15" x14ac:dyDescent="0.35">
      <c r="E110" s="12"/>
      <c r="F110" s="12"/>
      <c r="G110" s="6"/>
      <c r="H110" s="6"/>
      <c r="I110" s="6"/>
      <c r="J110" s="11"/>
      <c r="K110" s="13"/>
      <c r="L110" s="2"/>
      <c r="M110" s="2"/>
      <c r="N110" s="2"/>
      <c r="O110" s="9"/>
    </row>
    <row r="111" spans="5:15" x14ac:dyDescent="0.35">
      <c r="E111" s="12"/>
      <c r="F111" s="12"/>
      <c r="G111" s="6"/>
      <c r="H111" s="6"/>
      <c r="I111" s="6"/>
      <c r="J111" s="11"/>
      <c r="K111" s="13"/>
      <c r="L111" s="15"/>
      <c r="M111" s="2"/>
      <c r="N111" s="2"/>
      <c r="O111" s="9"/>
    </row>
    <row r="112" spans="5:15" x14ac:dyDescent="0.35">
      <c r="E112" s="12"/>
      <c r="F112" s="12"/>
      <c r="G112" s="6"/>
      <c r="H112" s="6"/>
      <c r="I112" s="6"/>
      <c r="J112" s="11"/>
      <c r="K112" s="13"/>
      <c r="L112" s="2"/>
      <c r="M112" s="2"/>
      <c r="N112" s="2"/>
      <c r="O112" s="9"/>
    </row>
    <row r="113" spans="5:15" x14ac:dyDescent="0.35">
      <c r="E113" s="12"/>
      <c r="F113" s="12"/>
      <c r="G113" s="6"/>
      <c r="H113" s="6"/>
      <c r="I113" s="6"/>
      <c r="J113" s="11"/>
      <c r="K113" s="13"/>
      <c r="L113" s="2"/>
      <c r="M113" s="2"/>
      <c r="N113" s="2"/>
      <c r="O113" s="9"/>
    </row>
    <row r="114" spans="5:15" x14ac:dyDescent="0.35">
      <c r="E114" s="12"/>
      <c r="F114" s="12"/>
      <c r="G114" s="6"/>
      <c r="H114" s="6"/>
      <c r="I114" s="6"/>
      <c r="J114" s="11"/>
      <c r="K114" s="13"/>
      <c r="L114" s="2"/>
      <c r="M114" s="2"/>
      <c r="N114" s="2"/>
      <c r="O114" s="9"/>
    </row>
    <row r="115" spans="5:15" x14ac:dyDescent="0.35">
      <c r="E115" s="12"/>
      <c r="F115" s="12"/>
      <c r="G115" s="6"/>
      <c r="H115" s="6"/>
      <c r="I115" s="6"/>
      <c r="J115" s="11"/>
      <c r="K115" s="13"/>
      <c r="L115" s="2"/>
      <c r="M115" s="2"/>
      <c r="N115" s="2"/>
      <c r="O115" s="9"/>
    </row>
    <row r="116" spans="5:15" x14ac:dyDescent="0.35">
      <c r="E116" s="12"/>
      <c r="F116" s="12"/>
      <c r="G116" s="6"/>
      <c r="H116" s="6"/>
      <c r="I116" s="6"/>
      <c r="J116" s="11"/>
      <c r="K116" s="13"/>
      <c r="L116" s="2"/>
      <c r="M116" s="2"/>
      <c r="N116" s="2"/>
      <c r="O116" s="9"/>
    </row>
    <row r="117" spans="5:15" x14ac:dyDescent="0.35">
      <c r="E117" s="12"/>
      <c r="F117" s="12"/>
      <c r="G117" s="6"/>
      <c r="H117" s="6"/>
      <c r="I117" s="6"/>
      <c r="J117" s="10"/>
      <c r="K117" s="13"/>
      <c r="L117" s="2"/>
      <c r="M117" s="2"/>
      <c r="N117" s="2"/>
      <c r="O117" s="9"/>
    </row>
    <row r="118" spans="5:15" x14ac:dyDescent="0.35">
      <c r="E118" s="12"/>
      <c r="F118" s="12"/>
      <c r="G118" s="6"/>
      <c r="H118" s="6"/>
      <c r="I118" s="6"/>
      <c r="J118" s="11"/>
      <c r="K118" s="13"/>
      <c r="L118" s="2"/>
      <c r="M118" s="2"/>
      <c r="N118" s="2"/>
      <c r="O118" s="9"/>
    </row>
    <row r="119" spans="5:15" x14ac:dyDescent="0.35">
      <c r="E119" s="12"/>
      <c r="F119" s="12"/>
      <c r="G119" s="6"/>
      <c r="H119" s="6"/>
      <c r="I119" s="6"/>
      <c r="J119" s="11"/>
      <c r="K119" s="13"/>
      <c r="L119" s="2"/>
      <c r="M119" s="2"/>
      <c r="N119" s="2"/>
      <c r="O119" s="9"/>
    </row>
    <row r="120" spans="5:15" x14ac:dyDescent="0.35">
      <c r="E120" s="12"/>
      <c r="F120" s="12"/>
      <c r="G120" s="6"/>
      <c r="H120" s="6"/>
      <c r="I120" s="6"/>
      <c r="J120" s="10"/>
      <c r="K120" s="13"/>
      <c r="L120" s="2"/>
      <c r="M120" s="2"/>
      <c r="N120" s="2"/>
      <c r="O120" s="9"/>
    </row>
    <row r="121" spans="5:15" x14ac:dyDescent="0.35">
      <c r="E121" s="12"/>
      <c r="F121" s="12"/>
      <c r="G121" s="6"/>
      <c r="H121" s="6"/>
      <c r="I121" s="6"/>
      <c r="J121" s="10"/>
      <c r="K121" s="13"/>
      <c r="L121" s="2"/>
      <c r="M121" s="2"/>
      <c r="N121" s="2"/>
      <c r="O121" s="9"/>
    </row>
    <row r="122" spans="5:15" x14ac:dyDescent="0.35">
      <c r="E122" s="12"/>
      <c r="F122" s="12"/>
      <c r="G122" s="6"/>
      <c r="H122" s="6"/>
      <c r="I122" s="6"/>
      <c r="J122" s="11"/>
      <c r="K122" s="13"/>
      <c r="L122" s="2"/>
      <c r="M122" s="2"/>
      <c r="N122" s="2"/>
      <c r="O122" s="9"/>
    </row>
    <row r="123" spans="5:15" x14ac:dyDescent="0.35">
      <c r="E123" s="12"/>
      <c r="F123" s="12"/>
      <c r="G123" s="6"/>
      <c r="H123" s="6"/>
      <c r="I123" s="6"/>
      <c r="J123" s="11"/>
      <c r="K123" s="13"/>
      <c r="L123" s="2"/>
      <c r="M123" s="2"/>
      <c r="N123" s="2"/>
      <c r="O123" s="9"/>
    </row>
    <row r="124" spans="5:15" x14ac:dyDescent="0.35">
      <c r="E124" s="12"/>
      <c r="F124" s="12"/>
      <c r="G124" s="6"/>
      <c r="H124" s="6"/>
      <c r="I124" s="6"/>
      <c r="J124" s="11"/>
      <c r="K124" s="13"/>
      <c r="L124" s="2"/>
      <c r="M124" s="2"/>
      <c r="N124" s="2"/>
      <c r="O124" s="9"/>
    </row>
    <row r="125" spans="5:15" x14ac:dyDescent="0.35">
      <c r="E125" s="12"/>
      <c r="F125" s="12"/>
      <c r="G125" s="6"/>
      <c r="H125" s="6"/>
      <c r="I125" s="6"/>
      <c r="J125" s="11"/>
      <c r="K125" s="13"/>
      <c r="L125" s="2"/>
      <c r="M125" s="2"/>
      <c r="N125" s="2"/>
      <c r="O125" s="9"/>
    </row>
    <row r="126" spans="5:15" x14ac:dyDescent="0.35">
      <c r="E126" s="12"/>
      <c r="F126" s="12"/>
      <c r="G126" s="6"/>
      <c r="H126" s="6"/>
      <c r="I126" s="6"/>
      <c r="J126" s="10"/>
      <c r="K126" s="13"/>
      <c r="L126" s="2"/>
      <c r="M126" s="2"/>
      <c r="N126" s="2"/>
      <c r="O126" s="9"/>
    </row>
    <row r="127" spans="5:15" x14ac:dyDescent="0.35">
      <c r="E127" s="12"/>
      <c r="F127" s="12"/>
      <c r="G127" s="6"/>
      <c r="H127" s="6"/>
      <c r="I127" s="6"/>
      <c r="J127" s="11"/>
      <c r="K127" s="13"/>
      <c r="L127" s="2"/>
      <c r="M127" s="2"/>
      <c r="N127" s="2"/>
      <c r="O127" s="9"/>
    </row>
    <row r="128" spans="5:15" x14ac:dyDescent="0.35">
      <c r="E128" s="12"/>
      <c r="F128" s="12"/>
      <c r="G128" s="6"/>
      <c r="H128" s="6"/>
      <c r="I128" s="6"/>
      <c r="J128" s="11"/>
      <c r="K128" s="13"/>
      <c r="L128" s="2"/>
      <c r="M128" s="2"/>
      <c r="N128" s="2"/>
      <c r="O128" s="9"/>
    </row>
    <row r="129" spans="5:15" x14ac:dyDescent="0.35">
      <c r="E129" s="12"/>
      <c r="F129" s="12"/>
      <c r="G129" s="6"/>
      <c r="H129" s="6"/>
      <c r="I129" s="6"/>
      <c r="J129" s="11"/>
      <c r="K129" s="13"/>
      <c r="L129" s="2"/>
      <c r="M129" s="2"/>
      <c r="N129" s="2"/>
      <c r="O129" s="9"/>
    </row>
    <row r="130" spans="5:15" x14ac:dyDescent="0.35">
      <c r="E130" s="12"/>
      <c r="F130" s="12"/>
      <c r="G130" s="6"/>
      <c r="H130" s="6"/>
      <c r="I130" s="6"/>
      <c r="J130" s="11"/>
      <c r="K130" s="13"/>
      <c r="L130" s="2"/>
      <c r="M130" s="2"/>
      <c r="N130" s="2"/>
      <c r="O130" s="9"/>
    </row>
    <row r="131" spans="5:15" x14ac:dyDescent="0.35">
      <c r="E131" s="12"/>
      <c r="F131" s="12"/>
      <c r="G131" s="6"/>
      <c r="H131" s="6"/>
      <c r="I131" s="6"/>
      <c r="J131" s="11"/>
      <c r="K131" s="13"/>
      <c r="L131" s="2"/>
      <c r="M131" s="2"/>
      <c r="N131" s="2"/>
      <c r="O131" s="9"/>
    </row>
    <row r="132" spans="5:15" x14ac:dyDescent="0.35">
      <c r="E132" s="12"/>
      <c r="F132" s="12"/>
      <c r="G132" s="6"/>
      <c r="H132" s="6"/>
      <c r="I132" s="6"/>
      <c r="J132" s="11"/>
      <c r="K132" s="13"/>
      <c r="L132" s="2"/>
      <c r="M132" s="2"/>
      <c r="N132" s="2"/>
      <c r="O132" s="9"/>
    </row>
    <row r="133" spans="5:15" x14ac:dyDescent="0.35">
      <c r="E133" s="12"/>
      <c r="F133" s="12"/>
      <c r="G133" s="6"/>
      <c r="H133" s="6"/>
      <c r="I133" s="6"/>
      <c r="J133" s="11"/>
      <c r="K133" s="13"/>
      <c r="L133" s="2"/>
      <c r="M133" s="2"/>
      <c r="N133" s="2"/>
      <c r="O133" s="9"/>
    </row>
    <row r="134" spans="5:15" x14ac:dyDescent="0.35">
      <c r="E134" s="12"/>
      <c r="F134" s="12"/>
      <c r="G134" s="6"/>
      <c r="H134" s="6"/>
      <c r="I134" s="6"/>
      <c r="J134" s="11"/>
      <c r="K134" s="13"/>
      <c r="L134" s="2"/>
      <c r="M134" s="2"/>
      <c r="N134" s="2"/>
      <c r="O134" s="9"/>
    </row>
    <row r="135" spans="5:15" x14ac:dyDescent="0.35">
      <c r="E135" s="12"/>
      <c r="F135" s="12"/>
      <c r="G135" s="6"/>
      <c r="H135" s="6"/>
      <c r="I135" s="6"/>
      <c r="J135" s="10"/>
      <c r="K135" s="13"/>
      <c r="L135" s="2"/>
      <c r="M135" s="2"/>
      <c r="N135" s="2"/>
      <c r="O135" s="9"/>
    </row>
    <row r="136" spans="5:15" x14ac:dyDescent="0.35">
      <c r="E136" s="12"/>
      <c r="F136" s="12"/>
      <c r="G136" s="6"/>
      <c r="H136" s="6"/>
      <c r="I136" s="6"/>
      <c r="J136" s="11"/>
      <c r="K136" s="13"/>
      <c r="M136" s="2"/>
      <c r="N136" s="2"/>
      <c r="O136" s="9"/>
    </row>
    <row r="137" spans="5:15" x14ac:dyDescent="0.35">
      <c r="E137" s="12"/>
      <c r="F137" s="12"/>
      <c r="G137" s="6"/>
      <c r="H137" s="6"/>
      <c r="I137" s="6"/>
      <c r="J137" s="11"/>
      <c r="K137" s="13"/>
      <c r="M137" s="2"/>
      <c r="N137" s="2"/>
      <c r="O137" s="9"/>
    </row>
    <row r="138" spans="5:15" x14ac:dyDescent="0.35">
      <c r="E138" s="12"/>
      <c r="F138" s="12"/>
      <c r="G138" s="6"/>
      <c r="H138" s="6"/>
      <c r="I138" s="6"/>
      <c r="J138" s="10"/>
      <c r="K138" s="13"/>
      <c r="M138" s="2"/>
      <c r="N138" s="2"/>
      <c r="O138" s="9"/>
    </row>
    <row r="139" spans="5:15" x14ac:dyDescent="0.35">
      <c r="E139" s="12"/>
      <c r="F139" s="12"/>
      <c r="G139" s="6"/>
      <c r="H139" s="6"/>
      <c r="I139" s="6"/>
      <c r="J139" s="10"/>
      <c r="K139" s="13"/>
      <c r="M139" s="2"/>
      <c r="N139" s="2"/>
      <c r="O139" s="9"/>
    </row>
    <row r="140" spans="5:15" x14ac:dyDescent="0.35">
      <c r="E140" s="12"/>
      <c r="F140" s="12"/>
      <c r="G140" s="6"/>
      <c r="H140" s="6"/>
      <c r="I140" s="6"/>
      <c r="J140" s="10"/>
      <c r="K140" s="13"/>
      <c r="M140" s="2"/>
      <c r="N140" s="2"/>
      <c r="O140" s="9"/>
    </row>
    <row r="141" spans="5:15" x14ac:dyDescent="0.35">
      <c r="E141" s="12"/>
      <c r="F141" s="12"/>
      <c r="G141" s="6"/>
      <c r="H141" s="6"/>
      <c r="I141" s="6"/>
      <c r="J141" s="10"/>
      <c r="K141" s="13"/>
      <c r="M141" s="2"/>
      <c r="N141" s="2"/>
      <c r="O141" s="9"/>
    </row>
  </sheetData>
  <phoneticPr fontId="2" type="noConversion"/>
  <conditionalFormatting sqref="M5:M27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32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33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36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43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8">
    <cfRule type="colorScale" priority="1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9 O49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{023B3010-994E-4C07-910E-1BE1BD9159F8}</x14:id>
        </ext>
      </extLst>
    </cfRule>
  </conditionalFormatting>
  <conditionalFormatting sqref="O5:O62">
    <cfRule type="dataBar" priority="10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{7E8BC773-D594-4629-AF4C-C5D2143FCCCA}</x14:id>
        </ext>
      </extLst>
    </cfRule>
  </conditionalFormatting>
  <conditionalFormatting sqref="N5:N141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48 N49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49"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{685ED5E9-8921-428C-8EF2-D4328579D3E0}</x14:id>
        </ext>
      </extLst>
    </cfRule>
  </conditionalFormatting>
  <conditionalFormatting sqref="O5:O65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{E78E3B71-DB28-4B58-AC3E-4647458FB476}</x14:id>
        </ext>
      </extLst>
    </cfRule>
  </conditionalFormatting>
  <conditionalFormatting sqref="O5:O66"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{D6A2002F-7F5D-4A95-8887-0C6427BD7CD8}</x14:id>
        </ext>
      </extLst>
    </cfRule>
  </conditionalFormatting>
  <conditionalFormatting sqref="O5:O72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{7E8BC773-D594-4629-AF4C-C5D2143FCCCA}</x14:id>
        </ext>
      </extLst>
    </cfRule>
  </conditionalFormatting>
  <conditionalFormatting sqref="O5:O93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{73F51E33-D801-445E-91CA-EA9AAF97B953}</x14:id>
        </ext>
      </extLst>
    </cfRule>
  </conditionalFormatting>
  <conditionalFormatting sqref="O5:O141">
    <cfRule type="dataBar" priority="1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{A864E026-8809-4624-B51D-7861F04B4531}</x14:id>
        </ext>
      </extLst>
    </cfRule>
  </conditionalFormatting>
  <conditionalFormatting sqref="M50:M72 M5:M48">
    <cfRule type="colorScale" priority="1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141 M5:M48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N141 N49 M5:N48">
    <cfRule type="colorScale" priority="1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44 O49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{F2D4482E-5690-41F5-B459-77E310DB488D}</x14:id>
        </ext>
      </extLst>
    </cfRule>
  </conditionalFormatting>
  <pageMargins left="0.7" right="0.7" top="0.78740157499999996" bottom="0.78740157499999996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3B3010-994E-4C07-910E-1BE1BD915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O5:O29 O49</xm:sqref>
        </x14:conditionalFormatting>
        <x14:conditionalFormatting xmlns:xm="http://schemas.microsoft.com/office/excel/2006/main">
          <x14:cfRule type="dataBar" id="{7E8BC773-D594-4629-AF4C-C5D2143FC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O5:O62</xm:sqref>
        </x14:conditionalFormatting>
        <x14:conditionalFormatting xmlns:xm="http://schemas.microsoft.com/office/excel/2006/main">
          <x14:cfRule type="dataBar" id="{685ED5E9-8921-428C-8EF2-D4328579D3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O5:O49</xm:sqref>
        </x14:conditionalFormatting>
        <x14:conditionalFormatting xmlns:xm="http://schemas.microsoft.com/office/excel/2006/main">
          <x14:cfRule type="dataBar" id="{E78E3B71-DB28-4B58-AC3E-4647458FB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O5:O65</xm:sqref>
        </x14:conditionalFormatting>
        <x14:conditionalFormatting xmlns:xm="http://schemas.microsoft.com/office/excel/2006/main">
          <x14:cfRule type="dataBar" id="{D6A2002F-7F5D-4A95-8887-0C6427BD7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O5:O66</xm:sqref>
        </x14:conditionalFormatting>
        <x14:conditionalFormatting xmlns:xm="http://schemas.microsoft.com/office/excel/2006/main">
          <x14:cfRule type="dataBar" id="{7E8BC773-D594-4629-AF4C-C5D2143FC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O5:O72</xm:sqref>
        </x14:conditionalFormatting>
        <x14:conditionalFormatting xmlns:xm="http://schemas.microsoft.com/office/excel/2006/main">
          <x14:cfRule type="dataBar" id="{73F51E33-D801-445E-91CA-EA9AAF97B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O5:O93</xm:sqref>
        </x14:conditionalFormatting>
        <x14:conditionalFormatting xmlns:xm="http://schemas.microsoft.com/office/excel/2006/main">
          <x14:cfRule type="dataBar" id="{A864E026-8809-4624-B51D-7861F04B45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O5:O141</xm:sqref>
        </x14:conditionalFormatting>
        <x14:conditionalFormatting xmlns:xm="http://schemas.microsoft.com/office/excel/2006/main">
          <x14:cfRule type="dataBar" id="{F2D4482E-5690-41F5-B459-77E310DB4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O5:O44 O49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618360-19F1-4B91-85F4-EC359E950BD0}">
          <x14:formula1>
            <xm:f>Enums!$D$4:$D$9</xm:f>
          </x14:formula1>
          <xm:sqref>H5:H48 H50:H141</xm:sqref>
        </x14:dataValidation>
        <x14:dataValidation type="list" allowBlank="1" showInputMessage="1" showErrorMessage="1" xr:uid="{D363FBE1-8221-4837-AB4A-036CE6A61FDE}">
          <x14:formula1>
            <xm:f>Enums!$F$4:$F$16</xm:f>
          </x14:formula1>
          <xm:sqref>I5:I48 I50:I141</xm:sqref>
        </x14:dataValidation>
        <x14:dataValidation type="list" allowBlank="1" showInputMessage="1" showErrorMessage="1" xr:uid="{BD2525F2-F150-4D53-919C-A418CA36D145}">
          <x14:formula1>
            <xm:f>Enums!$B$4:$B$52</xm:f>
          </x14:formula1>
          <xm:sqref>G5:G48 G50:G141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EF54-3AE7-4316-AE83-5FF961C78F80}">
  <dimension ref="B3:F52"/>
  <sheetViews>
    <sheetView workbookViewId="0">
      <selection activeCell="B30" sqref="B30"/>
    </sheetView>
  </sheetViews>
  <sheetFormatPr baseColWidth="10" defaultRowHeight="14.5" x14ac:dyDescent="0.35"/>
  <cols>
    <col min="2" max="2" width="16" customWidth="1"/>
  </cols>
  <sheetData>
    <row r="3" spans="2:6" x14ac:dyDescent="0.35">
      <c r="B3" t="s">
        <v>3</v>
      </c>
      <c r="D3" t="s">
        <v>6</v>
      </c>
      <c r="F3" t="s">
        <v>39</v>
      </c>
    </row>
    <row r="4" spans="2:6" x14ac:dyDescent="0.35">
      <c r="B4" t="s">
        <v>19</v>
      </c>
      <c r="D4" t="s">
        <v>7</v>
      </c>
      <c r="F4" t="s">
        <v>40</v>
      </c>
    </row>
    <row r="5" spans="2:6" x14ac:dyDescent="0.35">
      <c r="B5" t="s">
        <v>20</v>
      </c>
      <c r="D5" t="s">
        <v>8</v>
      </c>
      <c r="F5" t="s">
        <v>41</v>
      </c>
    </row>
    <row r="6" spans="2:6" x14ac:dyDescent="0.35">
      <c r="B6" t="s">
        <v>21</v>
      </c>
      <c r="D6" t="s">
        <v>9</v>
      </c>
      <c r="F6" t="s">
        <v>42</v>
      </c>
    </row>
    <row r="7" spans="2:6" x14ac:dyDescent="0.35">
      <c r="B7" t="s">
        <v>22</v>
      </c>
      <c r="D7" t="s">
        <v>10</v>
      </c>
      <c r="F7" t="s">
        <v>43</v>
      </c>
    </row>
    <row r="8" spans="2:6" x14ac:dyDescent="0.35">
      <c r="B8" t="s">
        <v>23</v>
      </c>
      <c r="D8" t="s">
        <v>11</v>
      </c>
      <c r="F8" t="s">
        <v>44</v>
      </c>
    </row>
    <row r="9" spans="2:6" x14ac:dyDescent="0.35">
      <c r="B9" t="s">
        <v>24</v>
      </c>
      <c r="D9" t="s">
        <v>33</v>
      </c>
      <c r="F9" t="s">
        <v>45</v>
      </c>
    </row>
    <row r="10" spans="2:6" x14ac:dyDescent="0.35">
      <c r="B10" t="s">
        <v>25</v>
      </c>
      <c r="F10" t="s">
        <v>46</v>
      </c>
    </row>
    <row r="11" spans="2:6" x14ac:dyDescent="0.35">
      <c r="B11" t="s">
        <v>26</v>
      </c>
      <c r="F11" t="s">
        <v>47</v>
      </c>
    </row>
    <row r="12" spans="2:6" x14ac:dyDescent="0.35">
      <c r="B12" t="s">
        <v>71</v>
      </c>
      <c r="F12" t="s">
        <v>53</v>
      </c>
    </row>
    <row r="13" spans="2:6" x14ac:dyDescent="0.35">
      <c r="B13" t="s">
        <v>4</v>
      </c>
      <c r="F13" t="s">
        <v>55</v>
      </c>
    </row>
    <row r="14" spans="2:6" x14ac:dyDescent="0.35">
      <c r="B14" t="s">
        <v>5</v>
      </c>
      <c r="F14" t="s">
        <v>49</v>
      </c>
    </row>
    <row r="15" spans="2:6" x14ac:dyDescent="0.35">
      <c r="B15" t="s">
        <v>27</v>
      </c>
      <c r="F15" t="s">
        <v>67</v>
      </c>
    </row>
    <row r="16" spans="2:6" x14ac:dyDescent="0.35">
      <c r="B16" t="s">
        <v>28</v>
      </c>
      <c r="F16" t="s">
        <v>33</v>
      </c>
    </row>
    <row r="17" spans="2:2" x14ac:dyDescent="0.35">
      <c r="B17" t="s">
        <v>29</v>
      </c>
    </row>
    <row r="18" spans="2:2" x14ac:dyDescent="0.35">
      <c r="B18" t="s">
        <v>48</v>
      </c>
    </row>
    <row r="19" spans="2:2" x14ac:dyDescent="0.35">
      <c r="B19" t="s">
        <v>52</v>
      </c>
    </row>
    <row r="20" spans="2:2" x14ac:dyDescent="0.35">
      <c r="B20" t="s">
        <v>30</v>
      </c>
    </row>
    <row r="21" spans="2:2" x14ac:dyDescent="0.35">
      <c r="B21" t="s">
        <v>31</v>
      </c>
    </row>
    <row r="22" spans="2:2" x14ac:dyDescent="0.35">
      <c r="B22" t="s">
        <v>32</v>
      </c>
    </row>
    <row r="23" spans="2:2" x14ac:dyDescent="0.35">
      <c r="B23" t="s">
        <v>34</v>
      </c>
    </row>
    <row r="24" spans="2:2" x14ac:dyDescent="0.35">
      <c r="B24" t="s">
        <v>35</v>
      </c>
    </row>
    <row r="25" spans="2:2" x14ac:dyDescent="0.35">
      <c r="B25" t="s">
        <v>54</v>
      </c>
    </row>
    <row r="26" spans="2:2" x14ac:dyDescent="0.35">
      <c r="B26" t="s">
        <v>36</v>
      </c>
    </row>
    <row r="27" spans="2:2" x14ac:dyDescent="0.35">
      <c r="B27" t="s">
        <v>86</v>
      </c>
    </row>
    <row r="28" spans="2:2" x14ac:dyDescent="0.35">
      <c r="B28" t="s">
        <v>64</v>
      </c>
    </row>
    <row r="29" spans="2:2" x14ac:dyDescent="0.35">
      <c r="B29" t="s">
        <v>90</v>
      </c>
    </row>
    <row r="30" spans="2:2" x14ac:dyDescent="0.35">
      <c r="B30" t="s">
        <v>88</v>
      </c>
    </row>
    <row r="31" spans="2:2" x14ac:dyDescent="0.35">
      <c r="B31" t="s">
        <v>82</v>
      </c>
    </row>
    <row r="32" spans="2:2" x14ac:dyDescent="0.35">
      <c r="B32" t="s">
        <v>66</v>
      </c>
    </row>
    <row r="33" spans="2:2" x14ac:dyDescent="0.35">
      <c r="B33" t="s">
        <v>75</v>
      </c>
    </row>
    <row r="34" spans="2:2" x14ac:dyDescent="0.35">
      <c r="B34" t="s">
        <v>38</v>
      </c>
    </row>
    <row r="35" spans="2:2" x14ac:dyDescent="0.35">
      <c r="B35" t="s">
        <v>50</v>
      </c>
    </row>
    <row r="36" spans="2:2" x14ac:dyDescent="0.35">
      <c r="B36" t="s">
        <v>37</v>
      </c>
    </row>
    <row r="37" spans="2:2" x14ac:dyDescent="0.35">
      <c r="B37" t="s">
        <v>59</v>
      </c>
    </row>
    <row r="38" spans="2:2" x14ac:dyDescent="0.35">
      <c r="B38" t="s">
        <v>74</v>
      </c>
    </row>
    <row r="39" spans="2:2" x14ac:dyDescent="0.35">
      <c r="B39" t="s">
        <v>60</v>
      </c>
    </row>
    <row r="40" spans="2:2" x14ac:dyDescent="0.35">
      <c r="B40" t="s">
        <v>56</v>
      </c>
    </row>
    <row r="41" spans="2:2" x14ac:dyDescent="0.35">
      <c r="B41" t="s">
        <v>87</v>
      </c>
    </row>
    <row r="42" spans="2:2" x14ac:dyDescent="0.35">
      <c r="B42" t="s">
        <v>76</v>
      </c>
    </row>
    <row r="43" spans="2:2" x14ac:dyDescent="0.35">
      <c r="B43" t="s">
        <v>51</v>
      </c>
    </row>
    <row r="44" spans="2:2" x14ac:dyDescent="0.35">
      <c r="B44" t="s">
        <v>81</v>
      </c>
    </row>
    <row r="45" spans="2:2" x14ac:dyDescent="0.35">
      <c r="B45" t="s">
        <v>80</v>
      </c>
    </row>
    <row r="46" spans="2:2" x14ac:dyDescent="0.35">
      <c r="B46" t="s">
        <v>68</v>
      </c>
    </row>
    <row r="47" spans="2:2" x14ac:dyDescent="0.35">
      <c r="B47" t="s">
        <v>65</v>
      </c>
    </row>
    <row r="48" spans="2:2" x14ac:dyDescent="0.35">
      <c r="B48" t="s">
        <v>69</v>
      </c>
    </row>
    <row r="49" spans="2:2" x14ac:dyDescent="0.35">
      <c r="B49" t="s">
        <v>73</v>
      </c>
    </row>
    <row r="50" spans="2:2" x14ac:dyDescent="0.35">
      <c r="B50" t="s">
        <v>70</v>
      </c>
    </row>
    <row r="51" spans="2:2" x14ac:dyDescent="0.35">
      <c r="B51" t="s">
        <v>72</v>
      </c>
    </row>
    <row r="52" spans="2:2" x14ac:dyDescent="0.35">
      <c r="B52" t="s">
        <v>33</v>
      </c>
    </row>
  </sheetData>
  <phoneticPr fontId="2" type="noConversion"/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Gewinne</vt:lpstr>
      <vt:lpstr>Enums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Zhang</dc:creator>
  <cp:lastModifiedBy>Dan Zhang</cp:lastModifiedBy>
  <dcterms:created xsi:type="dcterms:W3CDTF">2025-02-22T16:59:52Z</dcterms:created>
  <dcterms:modified xsi:type="dcterms:W3CDTF">2026-02-20T16:44:31Z</dcterms:modified>
</cp:coreProperties>
</file>